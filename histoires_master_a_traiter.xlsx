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traiter" sheetId="1" state="visible" r:id="rId3"/>
    <sheet name="Décompte" sheetId="2" state="visible" r:id="rId4"/>
  </sheets>
  <definedNames>
    <definedName function="false" hidden="true" localSheetId="0" name="_xlnm._FilterDatabase" vbProcedure="false">'À traiter'!$A$4:$L$99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<sst xmlns="http://schemas.openxmlformats.org/spreadsheetml/2006/main" count="731" uniqueCount="462">
  <si>
    <t xml:space="preserve">History Pins — Master des histoires à traiter (Métronome + Hexagone)</t>
  </si>
  <si>
    <t xml:space="preserve">95 histoires au total (49 Métronome / Paris + 46 Hexagone / France). Sans doublon avec stories.ts ni entre les deux livres. Une ligne = une histoire ; coordonnées = lieu réel.</t>
  </si>
  <si>
    <t xml:space="preserve">N°</t>
  </si>
  <si>
    <t xml:space="preserve">Livre</t>
  </si>
  <si>
    <t xml:space="preserve">Chapitre (siècle · lieu/route)</t>
  </si>
  <si>
    <t xml:space="preserve">N° ds chap.</t>
  </si>
  <si>
    <t xml:space="preserve">Histoire / anecdote</t>
  </si>
  <si>
    <t xml:space="preserve">Personnages clés</t>
  </si>
  <si>
    <t xml:space="preserve">Lieu</t>
  </si>
  <si>
    <t xml:space="preserve">Lat</t>
  </si>
  <si>
    <t xml:space="preserve">Lng</t>
  </si>
  <si>
    <t xml:space="preserve">Période</t>
  </si>
  <si>
    <t xml:space="preserve">Commande /new-story</t>
  </si>
  <si>
    <t xml:space="preserve">Notes</t>
  </si>
  <si>
    <t xml:space="preserve">Métronome</t>
  </si>
  <si>
    <t xml:space="preserve">01 · Ier · Cité</t>
  </si>
  <si>
    <t xml:space="preserve">La Lutèce gallo-romaine s'installe sur l'île de la Cité</t>
  </si>
  <si>
    <t xml:space="preserve">—</t>
  </si>
  <si>
    <t xml:space="preserve">Île de la Cité</t>
  </si>
  <si>
    <t xml:space="preserve">Ier s.</t>
  </si>
  <si>
    <t xml:space="preserve">/new-story La Lutèce gallo-romaine s'installe sur l'île de la Cité</t>
  </si>
  <si>
    <t xml:space="preserve">Le pilier des nautes, plus vieux monument de Paris</t>
  </si>
  <si>
    <t xml:space="preserve">Nautes de Lutèce</t>
  </si>
  <si>
    <t xml:space="preserve">Sous Notre-Dame</t>
  </si>
  <si>
    <t xml:space="preserve">/new-story Le pilier des nautes, plus vieux monument de Paris</t>
  </si>
  <si>
    <t xml:space="preserve">Les arènes de Lutèce</t>
  </si>
  <si>
    <t xml:space="preserve">Arènes de Lutèce</t>
  </si>
  <si>
    <t xml:space="preserve">Ier-IIe s.</t>
  </si>
  <si>
    <t xml:space="preserve">/new-story Les arènes de Lutèce</t>
  </si>
  <si>
    <t xml:space="preserve">02 · IIe · Place d'Italie</t>
  </si>
  <si>
    <t xml:space="preserve">Le cardo maximus, grand axe romain (rue Saint-Jacques)</t>
  </si>
  <si>
    <t xml:space="preserve">Rue Saint-Jacques</t>
  </si>
  <si>
    <t xml:space="preserve">IIe s.</t>
  </si>
  <si>
    <t xml:space="preserve">/new-story Le cardo maximus, grand axe romain (rue Saint-Jacques)</t>
  </si>
  <si>
    <t xml:space="preserve">« Tous les chemins mènent à Rome » : voies et bornes milliaires</t>
  </si>
  <si>
    <t xml:space="preserve">Place d'Italie</t>
  </si>
  <si>
    <t xml:space="preserve">/new-story « Tous les chemins mènent à Rome » : voies et bornes milliaires</t>
  </si>
  <si>
    <t xml:space="preserve">Lutèce délaissée et pillée par les invasions germaniques</t>
  </si>
  <si>
    <t xml:space="preserve">Rive gauche</t>
  </si>
  <si>
    <t xml:space="preserve">IIe-IIIe s.</t>
  </si>
  <si>
    <t xml:space="preserve">/new-story Lutèce délaissée et pillée par les invasions germaniques</t>
  </si>
  <si>
    <t xml:space="preserve">03 · IIIe · Notre-Dame-des-Champs</t>
  </si>
  <si>
    <t xml:space="preserve">Le martyre de saint Denis, décapité à Montmartre</t>
  </si>
  <si>
    <t xml:space="preserve">Saint Denis</t>
  </si>
  <si>
    <t xml:space="preserve">Butte Montmartre</t>
  </si>
  <si>
    <t xml:space="preserve">IIIe s.</t>
  </si>
  <si>
    <t xml:space="preserve">/new-story Le martyre de saint Denis, décapité à Montmartre</t>
  </si>
  <si>
    <t xml:space="preserve">Saint Denis céphalophore portant sa tête jusqu'à Saint-Denis</t>
  </si>
  <si>
    <t xml:space="preserve">Vers Saint-Denis</t>
  </si>
  <si>
    <t xml:space="preserve">/new-story Saint Denis céphalophore portant sa tête jusqu'à Saint-Denis</t>
  </si>
  <si>
    <t xml:space="preserve">Légende</t>
  </si>
  <si>
    <t xml:space="preserve">Les premières communautés chrétiennes de Lutèce</t>
  </si>
  <si>
    <t xml:space="preserve">Notre-Dame-des-Champs</t>
  </si>
  <si>
    <t xml:space="preserve">/new-story Les premières communautés chrétiennes de Lutèce</t>
  </si>
  <si>
    <t xml:space="preserve">04 · IVe · Saint-Martin</t>
  </si>
  <si>
    <t xml:space="preserve">Julien proclamé empereur à Lutèce (360)</t>
  </si>
  <si>
    <t xml:space="preserve">Julien l'Apostat</t>
  </si>
  <si>
    <t xml:space="preserve">Palais des Thermes (Cluny)</t>
  </si>
  <si>
    <t xml:space="preserve">360</t>
  </si>
  <si>
    <t xml:space="preserve">/new-story Julien proclamé empereur à Lutèce (360)</t>
  </si>
  <si>
    <t xml:space="preserve">Julien repousse les Alamans (bataille de Strasbourg, 357)</t>
  </si>
  <si>
    <t xml:space="preserve">Julien</t>
  </si>
  <si>
    <t xml:space="preserve">(évoqué) Lutèce</t>
  </si>
  <si>
    <t xml:space="preserve">357</t>
  </si>
  <si>
    <t xml:space="preserve">/new-story Julien repousse les Alamans (bataille de Strasbourg, 357)</t>
  </si>
  <si>
    <t xml:space="preserve">Saint Martin partage son manteau</t>
  </si>
  <si>
    <t xml:space="preserve">Saint Martin</t>
  </si>
  <si>
    <t xml:space="preserve">Rue Saint-Martin</t>
  </si>
  <si>
    <t xml:space="preserve">IVe s.</t>
  </si>
  <si>
    <t xml:space="preserve">/new-story Saint Martin partage son manteau</t>
  </si>
  <si>
    <t xml:space="preserve">Lutèce prend le nom de Paris (civitas Parisiorum)</t>
  </si>
  <si>
    <t xml:space="preserve">fin IVe s.</t>
  </si>
  <si>
    <t xml:space="preserve">/new-story Lutèce prend le nom de Paris (civitas Parisiorum)</t>
  </si>
  <si>
    <t xml:space="preserve">05 · Ve · Saint-Michel–N.-D.</t>
  </si>
  <si>
    <t xml:space="preserve">Geneviève ravitaille Paris assiégée par les Francs</t>
  </si>
  <si>
    <t xml:space="preserve">Sainte Geneviève</t>
  </si>
  <si>
    <t xml:space="preserve">Ve s.</t>
  </si>
  <si>
    <t xml:space="preserve">/new-story Geneviève ravitaille Paris assiégée par les Francs</t>
  </si>
  <si>
    <t xml:space="preserve">Childéric et la montée des Mérovingiens</t>
  </si>
  <si>
    <t xml:space="preserve">Childéric Ier</t>
  </si>
  <si>
    <t xml:space="preserve">/new-story Childéric et la montée des Mérovingiens</t>
  </si>
  <si>
    <t xml:space="preserve">06 · VIe · Saint-Germain-des-Prés</t>
  </si>
  <si>
    <t xml:space="preserve">Mort de sainte Geneviève (502), tombeau sur le mont</t>
  </si>
  <si>
    <t xml:space="preserve">Sainte Geneviève, Clovis</t>
  </si>
  <si>
    <t xml:space="preserve">Abbaye Sainte-Geneviève</t>
  </si>
  <si>
    <t xml:space="preserve">502</t>
  </si>
  <si>
    <t xml:space="preserve">/new-story Mort de sainte Geneviève (502), tombeau sur le mont</t>
  </si>
  <si>
    <t xml:space="preserve">Childebert fonde l'abbaye Saint-Germain-des-Prés</t>
  </si>
  <si>
    <t xml:space="preserve">Childebert Ier</t>
  </si>
  <si>
    <t xml:space="preserve">Saint-Germain-des-Prés</t>
  </si>
  <si>
    <t xml:space="preserve">VIe s.</t>
  </si>
  <si>
    <t xml:space="preserve">/new-story Childebert fonde l'abbaye Saint-Germain-des-Prés</t>
  </si>
  <si>
    <t xml:space="preserve">Les rois mérovingiens et les partages du royaume</t>
  </si>
  <si>
    <t xml:space="preserve">Mérovingiens</t>
  </si>
  <si>
    <t xml:space="preserve">/new-story Les rois mérovingiens et les partages du royaume</t>
  </si>
  <si>
    <t xml:space="preserve">07 · VIIe · Basilique Saint-Denis</t>
  </si>
  <si>
    <t xml:space="preserve">Dagobert et l'essor de l'abbaye de Saint-Denis</t>
  </si>
  <si>
    <t xml:space="preserve">Dagobert Ier</t>
  </si>
  <si>
    <t xml:space="preserve">Basilique Saint-Denis</t>
  </si>
  <si>
    <t xml:space="preserve">VIIe s.</t>
  </si>
  <si>
    <t xml:space="preserve">/new-story Dagobert et l'essor de l'abbaye de Saint-Denis</t>
  </si>
  <si>
    <t xml:space="preserve">Saint Éloi, orfèvre et conseiller du roi</t>
  </si>
  <si>
    <t xml:space="preserve">Saint Éloi</t>
  </si>
  <si>
    <t xml:space="preserve">/new-story Saint Éloi, orfèvre et conseiller du roi</t>
  </si>
  <si>
    <t xml:space="preserve">La basilique devient nécropole des rois de France</t>
  </si>
  <si>
    <t xml:space="preserve">VIIe s. →</t>
  </si>
  <si>
    <t xml:space="preserve">/new-story La basilique devient nécropole des rois de France</t>
  </si>
  <si>
    <t xml:space="preserve">08 · IXe · L'heure des comtes</t>
  </si>
  <si>
    <t xml:space="preserve">Les invasions vikings et le grand siège de Paris (885-886)</t>
  </si>
  <si>
    <t xml:space="preserve">Eudes, Vikings</t>
  </si>
  <si>
    <t xml:space="preserve">885-886</t>
  </si>
  <si>
    <t xml:space="preserve">/new-story Les invasions vikings et le grand siège de Paris (885-886)</t>
  </si>
  <si>
    <t xml:space="preserve">Eudes, comte de Paris, héros de la défense</t>
  </si>
  <si>
    <t xml:space="preserve">Eudes</t>
  </si>
  <si>
    <t xml:space="preserve">/new-story Eudes, comte de Paris, héros de la défense</t>
  </si>
  <si>
    <t xml:space="preserve">Charles le Gros paie rançon aux Normands</t>
  </si>
  <si>
    <t xml:space="preserve">Charles le Gros</t>
  </si>
  <si>
    <t xml:space="preserve">IXe s.</t>
  </si>
  <si>
    <t xml:space="preserve">/new-story Charles le Gros paie rançon aux Normands</t>
  </si>
  <si>
    <t xml:space="preserve">09 · Xe · L'envol des Capétiens</t>
  </si>
  <si>
    <t xml:space="preserve">Hugues Capet élu roi des Francs (987)</t>
  </si>
  <si>
    <t xml:space="preserve">Hugues Capet</t>
  </si>
  <si>
    <t xml:space="preserve">987</t>
  </si>
  <si>
    <t xml:space="preserve">/new-story Hugues Capet élu roi des Francs (987)</t>
  </si>
  <si>
    <t xml:space="preserve">Les Robertiens, comtes de Paris devenus rois</t>
  </si>
  <si>
    <t xml:space="preserve">Robertiens</t>
  </si>
  <si>
    <t xml:space="preserve">Xe s.</t>
  </si>
  <si>
    <t xml:space="preserve">/new-story Les Robertiens, comtes de Paris devenus rois</t>
  </si>
  <si>
    <t xml:space="preserve">10 · XIe · L'an mille</t>
  </si>
  <si>
    <t xml:space="preserve">Les peurs et l'espérance de l'an mil</t>
  </si>
  <si>
    <t xml:space="preserve">Paris</t>
  </si>
  <si>
    <t xml:space="preserve">v. 1000</t>
  </si>
  <si>
    <t xml:space="preserve">/new-story Les peurs et l'espérance de l'an mil</t>
  </si>
  <si>
    <t xml:space="preserve">L'essor marchand de la rive droite (la Grève)</t>
  </si>
  <si>
    <t xml:space="preserve">Marchands de l'eau</t>
  </si>
  <si>
    <t xml:space="preserve">Place de Grève</t>
  </si>
  <si>
    <t xml:space="preserve">XIe s.</t>
  </si>
  <si>
    <t xml:space="preserve">/new-story L'essor marchand de la rive droite (la Grève)</t>
  </si>
  <si>
    <t xml:space="preserve">Le Pont-au-Change, ancêtre de la Bourse</t>
  </si>
  <si>
    <t xml:space="preserve">Changeurs</t>
  </si>
  <si>
    <t xml:space="preserve">Pont au Change</t>
  </si>
  <si>
    <t xml:space="preserve">XIe-XIIe s.</t>
  </si>
  <si>
    <t xml:space="preserve">/new-story Le Pont-au-Change, ancêtre de la Bourse</t>
  </si>
  <si>
    <t xml:space="preserve">11 · XIIe-XIIIe · Philippe Auguste</t>
  </si>
  <si>
    <t xml:space="preserve">Les Halles, le ventre de Paris</t>
  </si>
  <si>
    <t xml:space="preserve">Les Halles</t>
  </si>
  <si>
    <t xml:space="preserve">XIIe s.</t>
  </si>
  <si>
    <t xml:space="preserve">/new-story Les Halles, le ventre de Paris</t>
  </si>
  <si>
    <t xml:space="preserve">12 · XIIIe · L'essor de l'Université</t>
  </si>
  <si>
    <t xml:space="preserve">Naissance de l'Université de Paris</t>
  </si>
  <si>
    <t xml:space="preserve">Quartier latin</t>
  </si>
  <si>
    <t xml:space="preserve">XIIIe s.</t>
  </si>
  <si>
    <t xml:space="preserve">/new-story Naissance de l'Université de Paris</t>
  </si>
  <si>
    <t xml:space="preserve">Les cours sur la paille, place Maubert</t>
  </si>
  <si>
    <t xml:space="preserve">Étudiants, clercs</t>
  </si>
  <si>
    <t xml:space="preserve">Place Maubert</t>
  </si>
  <si>
    <t xml:space="preserve">/new-story Les cours sur la paille, place Maubert</t>
  </si>
  <si>
    <t xml:space="preserve">13 · XIVe · Naissance du Tiers-État</t>
  </si>
  <si>
    <t xml:space="preserve">Les états généraux et la contestation royale</t>
  </si>
  <si>
    <t xml:space="preserve">Étienne Marcel</t>
  </si>
  <si>
    <t xml:space="preserve">XIVe s.</t>
  </si>
  <si>
    <t xml:space="preserve">/new-story Les états généraux et la contestation royale</t>
  </si>
  <si>
    <t xml:space="preserve">La Grande Peste frappe Paris (1348)</t>
  </si>
  <si>
    <t xml:space="preserve">1348</t>
  </si>
  <si>
    <t xml:space="preserve">/new-story La Grande Peste frappe Paris (1348)</t>
  </si>
  <si>
    <t xml:space="preserve">Charles V bâtit la Bastille et le Louvre royal</t>
  </si>
  <si>
    <t xml:space="preserve">Charles V</t>
  </si>
  <si>
    <t xml:space="preserve">Bastille</t>
  </si>
  <si>
    <t xml:space="preserve">v. 1370</t>
  </si>
  <si>
    <t xml:space="preserve">/new-story Charles V bâtit la Bastille et le Louvre royal</t>
  </si>
  <si>
    <t xml:space="preserve">14 · XVe · Château de Vincennes</t>
  </si>
  <si>
    <t xml:space="preserve">La guerre de Cent Ans : Paris aux mains des Anglais</t>
  </si>
  <si>
    <t xml:space="preserve">XVe s.</t>
  </si>
  <si>
    <t xml:space="preserve">/new-story La guerre de Cent Ans : Paris aux mains des Anglais</t>
  </si>
  <si>
    <t xml:space="preserve">Jeanne d'Arc blessée à la porte Saint-Honoré (1429)</t>
  </si>
  <si>
    <t xml:space="preserve">Jeanne d'Arc</t>
  </si>
  <si>
    <t xml:space="preserve">Porte Saint-Honoré</t>
  </si>
  <si>
    <t xml:space="preserve">1429</t>
  </si>
  <si>
    <t xml:space="preserve">/new-story Jeanne d'Arc blessée à la porte Saint-Honoré (1429)</t>
  </si>
  <si>
    <t xml:space="preserve">Le donjon de Vincennes, résidence et coffre-fort royal</t>
  </si>
  <si>
    <t xml:space="preserve">Château de Vincennes</t>
  </si>
  <si>
    <t xml:space="preserve">XIVe-XVe s.</t>
  </si>
  <si>
    <t xml:space="preserve">/new-story Le donjon de Vincennes, résidence et coffre-fort royal</t>
  </si>
  <si>
    <t xml:space="preserve">15 · XVIe · La Renaissance</t>
  </si>
  <si>
    <t xml:space="preserve">François Ier capturé à Pavie (1525)</t>
  </si>
  <si>
    <t xml:space="preserve">François Ier</t>
  </si>
  <si>
    <t xml:space="preserve">(évoqué) Louvre</t>
  </si>
  <si>
    <t xml:space="preserve">1525</t>
  </si>
  <si>
    <t xml:space="preserve">/new-story François Ier capturé à Pavie (1525)</t>
  </si>
  <si>
    <t xml:space="preserve">Le Louvre Renaissance de Pierre Lescot</t>
  </si>
  <si>
    <t xml:space="preserve">François Ier, Lescot</t>
  </si>
  <si>
    <t xml:space="preserve">Cour Carrée du Louvre</t>
  </si>
  <si>
    <t xml:space="preserve">XVIe s.</t>
  </si>
  <si>
    <t xml:space="preserve">/new-story Le Louvre Renaissance de Pierre Lescot</t>
  </si>
  <si>
    <t xml:space="preserve">Catherine de Médicis et le palais des Tuileries</t>
  </si>
  <si>
    <t xml:space="preserve">Catherine de Médicis</t>
  </si>
  <si>
    <t xml:space="preserve">Jardin des Tuileries</t>
  </si>
  <si>
    <t xml:space="preserve">/new-story Catherine de Médicis et le palais des Tuileries</t>
  </si>
  <si>
    <t xml:space="preserve">16 · XVIIe · Le Grand Siècle / Invalides</t>
  </si>
  <si>
    <t xml:space="preserve">La fête de Vaux et la chute de Fouquet (1661)</t>
  </si>
  <si>
    <t xml:space="preserve">Fouquet, Louis XIV</t>
  </si>
  <si>
    <t xml:space="preserve">(évoqué) Vaux-le-Vicomte</t>
  </si>
  <si>
    <t xml:space="preserve">1661</t>
  </si>
  <si>
    <t xml:space="preserve">/new-story La fête de Vaux et la chute de Fouquet (1661)</t>
  </si>
  <si>
    <t xml:space="preserve">Louis XIV, le Roi-Soleil et Paris</t>
  </si>
  <si>
    <t xml:space="preserve">Louis XIV</t>
  </si>
  <si>
    <t xml:space="preserve">XVIIe s.</t>
  </si>
  <si>
    <t xml:space="preserve">/new-story Louis XIV, le Roi-Soleil et Paris</t>
  </si>
  <si>
    <t xml:space="preserve">17 · XVIIIe-XIXe · De la Bastille à la IIIe Rép.</t>
  </si>
  <si>
    <t xml:space="preserve">La Commune de Paris (1871)</t>
  </si>
  <si>
    <t xml:space="preserve">Communards</t>
  </si>
  <si>
    <t xml:space="preserve">Montmartre</t>
  </si>
  <si>
    <t xml:space="preserve">1871</t>
  </si>
  <si>
    <t xml:space="preserve">/new-story La Commune de Paris (1871)</t>
  </si>
  <si>
    <t xml:space="preserve">Traitée brièvement dans le livre</t>
  </si>
  <si>
    <t xml:space="preserve">18 · XXe · Les allées du pouvoir</t>
  </si>
  <si>
    <t xml:space="preserve">Le métro et les édicules Guimard (kiosque des Noctambules)</t>
  </si>
  <si>
    <t xml:space="preserve">Hector Guimard</t>
  </si>
  <si>
    <t xml:space="preserve">Place Colette / Palais-Royal</t>
  </si>
  <si>
    <t xml:space="preserve">1900-2000</t>
  </si>
  <si>
    <t xml:space="preserve">/new-story Le métro et les édicules Guimard (kiosque des Noctambules)</t>
  </si>
  <si>
    <t xml:space="preserve">L'Élysée et les lieux du pouvoir républicain</t>
  </si>
  <si>
    <t xml:space="preserve">Palais de l'Élysée</t>
  </si>
  <si>
    <t xml:space="preserve">XXe s.</t>
  </si>
  <si>
    <t xml:space="preserve">/new-story L'Élysée et les lieux du pouvoir républicain</t>
  </si>
  <si>
    <t xml:space="preserve">Guerres mondiales et Libération de Paris (1944)</t>
  </si>
  <si>
    <t xml:space="preserve">De Gaulle, Leclerc</t>
  </si>
  <si>
    <t xml:space="preserve">Hôtel de Ville</t>
  </si>
  <si>
    <t xml:space="preserve">1944</t>
  </si>
  <si>
    <t xml:space="preserve">/new-story Guerres mondiales et Libération de Paris (1944)</t>
  </si>
  <si>
    <t xml:space="preserve">19 · XXIe · La Défense</t>
  </si>
  <si>
    <t xml:space="preserve">La Grande Arche de la Défense</t>
  </si>
  <si>
    <t xml:space="preserve">Grande Arche</t>
  </si>
  <si>
    <t xml:space="preserve">1989</t>
  </si>
  <si>
    <t xml:space="preserve">/new-story La Grande Arche de la Défense</t>
  </si>
  <si>
    <t xml:space="preserve">Le Grand Paris et la ville de demain</t>
  </si>
  <si>
    <t xml:space="preserve">La Défense</t>
  </si>
  <si>
    <t xml:space="preserve">XXIe s.</t>
  </si>
  <si>
    <t xml:space="preserve">/new-story Le Grand Paris et la ville de demain</t>
  </si>
  <si>
    <t xml:space="preserve">Hexagone</t>
  </si>
  <si>
    <t xml:space="preserve">01 · VIe av. J.-C. · Les routes du commerce</t>
  </si>
  <si>
    <t xml:space="preserve">La fondation de Marseille (Massalia) par les Phocéens</t>
  </si>
  <si>
    <t xml:space="preserve">Gyptis, Protis</t>
  </si>
  <si>
    <t xml:space="preserve">Marseille (Vieux-Port)</t>
  </si>
  <si>
    <t xml:space="preserve">v. 600 av. J.-C.</t>
  </si>
  <si>
    <t xml:space="preserve">/new-story La fondation de Marseille (Massalia) par les Phocéens</t>
  </si>
  <si>
    <t xml:space="preserve">La route de l'étain de Cornouailles par les fleuves de Gaule</t>
  </si>
  <si>
    <t xml:space="preserve">Vallée de la Seine (Rouen)</t>
  </si>
  <si>
    <t xml:space="preserve">VIe-Ve av. J.-C.</t>
  </si>
  <si>
    <t xml:space="preserve">/new-story La route de l'étain de Cornouailles par les fleuves de Gaule</t>
  </si>
  <si>
    <t xml:space="preserve">Axe fluvial</t>
  </si>
  <si>
    <t xml:space="preserve">Le trésor de Vix : la Dame et le cratère celte</t>
  </si>
  <si>
    <t xml:space="preserve">Dame de Vix</t>
  </si>
  <si>
    <t xml:space="preserve">Vix (Châtillon-sur-Seine)</t>
  </si>
  <si>
    <t xml:space="preserve">v. 500 av. J.-C.</t>
  </si>
  <si>
    <t xml:space="preserve">/new-story Le trésor de Vix : la Dame et le cratère celte</t>
  </si>
  <si>
    <t xml:space="preserve">02 · Ve-IVe av. J.-C. · Les Celtes</t>
  </si>
  <si>
    <t xml:space="preserve">Bibracte, capitale des Éduens (Mont Beuvray)</t>
  </si>
  <si>
    <t xml:space="preserve">Éduens</t>
  </si>
  <si>
    <t xml:space="preserve">Mont Beuvray</t>
  </si>
  <si>
    <t xml:space="preserve">Ve-IIe av. J.-C.</t>
  </si>
  <si>
    <t xml:space="preserve">/new-story Bibracte, capitale des Éduens (Mont Beuvray)</t>
  </si>
  <si>
    <t xml:space="preserve">Les routes de l'ambre, du sel et du fer</t>
  </si>
  <si>
    <t xml:space="preserve">Salins-les-Bains</t>
  </si>
  <si>
    <t xml:space="preserve">Antiquité celte</t>
  </si>
  <si>
    <t xml:space="preserve">/new-story Les routes de l'ambre, du sel et du fer</t>
  </si>
  <si>
    <t xml:space="preserve">03 · Ier av. J.-C. · La conquête romaine</t>
  </si>
  <si>
    <t xml:space="preserve">Gergovie : la victoire de Vercingétorix sur César</t>
  </si>
  <si>
    <t xml:space="preserve">Vercingétorix, César</t>
  </si>
  <si>
    <t xml:space="preserve">Plateau de Gergovie</t>
  </si>
  <si>
    <t xml:space="preserve">52 av. J.-C.</t>
  </si>
  <si>
    <t xml:space="preserve">/new-story Gergovie : la victoire de Vercingétorix sur César</t>
  </si>
  <si>
    <t xml:space="preserve">Alésia : la reddition de Vercingétorix</t>
  </si>
  <si>
    <t xml:space="preserve">Alise-Sainte-Reine</t>
  </si>
  <si>
    <t xml:space="preserve">/new-story Alésia : la reddition de Vercingétorix</t>
  </si>
  <si>
    <t xml:space="preserve">04 · Ier-IIe s. · La Gaule romaine</t>
  </si>
  <si>
    <t xml:space="preserve">Lugdunum (Lyon), capitale des Gaules</t>
  </si>
  <si>
    <t xml:space="preserve">Fourvière, Lyon</t>
  </si>
  <si>
    <t xml:space="preserve">/new-story Lugdunum (Lyon), capitale des Gaules</t>
  </si>
  <si>
    <t xml:space="preserve">Le pont du Gard et l'aqueduc de Nîmes</t>
  </si>
  <si>
    <t xml:space="preserve">Pont du Gard</t>
  </si>
  <si>
    <t xml:space="preserve">/new-story Le pont du Gard et l'aqueduc de Nîmes</t>
  </si>
  <si>
    <t xml:space="preserve">Nîmes (Nemausus) et ses arènes</t>
  </si>
  <si>
    <t xml:space="preserve">Arènes de Nîmes</t>
  </si>
  <si>
    <t xml:space="preserve">/new-story Nîmes (Nemausus) et ses arènes</t>
  </si>
  <si>
    <t xml:space="preserve">Arles romaine et son amphithéâtre</t>
  </si>
  <si>
    <t xml:space="preserve">Arles</t>
  </si>
  <si>
    <t xml:space="preserve">/new-story Arles romaine et son amphithéâtre</t>
  </si>
  <si>
    <t xml:space="preserve">Le théâtre antique d'Orange</t>
  </si>
  <si>
    <t xml:space="preserve">Orange</t>
  </si>
  <si>
    <t xml:space="preserve">/new-story Le théâtre antique d'Orange</t>
  </si>
  <si>
    <t xml:space="preserve">05 · IIIe-Ve s. · La Gaule chrétienne</t>
  </si>
  <si>
    <t xml:space="preserve">Tours, le tombeau de saint Martin, grand pèlerinage de Gaule</t>
  </si>
  <si>
    <t xml:space="preserve">Basilique Saint-Martin, Tours</t>
  </si>
  <si>
    <t xml:space="preserve">IVe-Ve s.</t>
  </si>
  <si>
    <t xml:space="preserve">/new-story Tours, le tombeau de saint Martin, grand pèlerinage de Gaule</t>
  </si>
  <si>
    <t xml:space="preserve">Distinct du manteau (Paris)</t>
  </si>
  <si>
    <t xml:space="preserve">Le baptême de Clovis à Reims</t>
  </si>
  <si>
    <t xml:space="preserve">Clovis, saint Remi</t>
  </si>
  <si>
    <t xml:space="preserve">Cathédrale de Reims</t>
  </si>
  <si>
    <t xml:space="preserve">496</t>
  </si>
  <si>
    <t xml:space="preserve">/new-story Le baptême de Clovis à Reims</t>
  </si>
  <si>
    <t xml:space="preserve">Distinct de Paris capitale 508</t>
  </si>
  <si>
    <t xml:space="preserve">06 · VIIIe s. · Charles Martel</t>
  </si>
  <si>
    <t xml:space="preserve">Charles Martel arrête les Arabes à Poitiers</t>
  </si>
  <si>
    <t xml:space="preserve">Charles Martel</t>
  </si>
  <si>
    <t xml:space="preserve">Poitiers (Moussais)</t>
  </si>
  <si>
    <t xml:space="preserve">732</t>
  </si>
  <si>
    <t xml:space="preserve">/new-story Charles Martel arrête les Arabes à Poitiers</t>
  </si>
  <si>
    <t xml:space="preserve">Roncevaux : la mort de Roland</t>
  </si>
  <si>
    <t xml:space="preserve">Roland, Charlemagne</t>
  </si>
  <si>
    <t xml:space="preserve">Col de Roncevaux</t>
  </si>
  <si>
    <t xml:space="preserve">778</t>
  </si>
  <si>
    <t xml:space="preserve">/new-story Roncevaux : la mort de Roland</t>
  </si>
  <si>
    <t xml:space="preserve">Col, frontière</t>
  </si>
  <si>
    <t xml:space="preserve">07 · IXe-Xe s. · Vikings et Normandie</t>
  </si>
  <si>
    <t xml:space="preserve">Les drakkars vikings remontent les fleuves</t>
  </si>
  <si>
    <t xml:space="preserve">Vikings</t>
  </si>
  <si>
    <t xml:space="preserve">Jumièges (Seine)</t>
  </si>
  <si>
    <t xml:space="preserve">/new-story Les drakkars vikings remontent les fleuves</t>
  </si>
  <si>
    <t xml:space="preserve">Saint-Clair-sur-Epte : naissance de la Normandie</t>
  </si>
  <si>
    <t xml:space="preserve">Rollon, Charles le Simple</t>
  </si>
  <si>
    <t xml:space="preserve">Saint-Clair-sur-Epte</t>
  </si>
  <si>
    <t xml:space="preserve">911</t>
  </si>
  <si>
    <t xml:space="preserve">/new-story Saint-Clair-sur-Epte : naissance de la Normandie</t>
  </si>
  <si>
    <t xml:space="preserve">08 · XIe-XIIe s. · Pèlerinages</t>
  </si>
  <si>
    <t xml:space="preserve">Les chemins de Saint-Jacques-de-Compostelle</t>
  </si>
  <si>
    <t xml:space="preserve">Pèlerins jacquaires</t>
  </si>
  <si>
    <t xml:space="preserve">Le Puy-en-Velay</t>
  </si>
  <si>
    <t xml:space="preserve">XIe s. →</t>
  </si>
  <si>
    <t xml:space="preserve">/new-story Les chemins de Saint-Jacques-de-Compostelle</t>
  </si>
  <si>
    <t xml:space="preserve">L'abbaye de Cluny, phare de la chrétienté</t>
  </si>
  <si>
    <t xml:space="preserve">Moines clunisiens</t>
  </si>
  <si>
    <t xml:space="preserve">Cluny</t>
  </si>
  <si>
    <t xml:space="preserve">Xe-XIIe s.</t>
  </si>
  <si>
    <t xml:space="preserve">/new-story L'abbaye de Cluny, phare de la chrétienté</t>
  </si>
  <si>
    <t xml:space="preserve">Conques et le trésor de Sainte-Foy</t>
  </si>
  <si>
    <t xml:space="preserve">Conques</t>
  </si>
  <si>
    <t xml:space="preserve">/new-story Conques et le trésor de Sainte-Foy</t>
  </si>
  <si>
    <t xml:space="preserve">Le Mont-Saint-Michel, merveille de l'Occident</t>
  </si>
  <si>
    <t xml:space="preserve">Mont-Saint-Michel</t>
  </si>
  <si>
    <t xml:space="preserve">VIIIe s. →</t>
  </si>
  <si>
    <t xml:space="preserve">/new-story Le Mont-Saint-Michel, merveille de l'Occident</t>
  </si>
  <si>
    <t xml:space="preserve">Vézelay, colline éternelle et départ de croisade</t>
  </si>
  <si>
    <t xml:space="preserve">Bernard de Clairvaux</t>
  </si>
  <si>
    <t xml:space="preserve">Vézelay</t>
  </si>
  <si>
    <t xml:space="preserve">/new-story Vézelay, colline éternelle et départ de croisade</t>
  </si>
  <si>
    <t xml:space="preserve">09 · XIIe-XIIIe s. · Cathédrales et croisades</t>
  </si>
  <si>
    <t xml:space="preserve">Bouvines : la victoire fondatrice de Philippe Auguste</t>
  </si>
  <si>
    <t xml:space="preserve">Philippe Auguste</t>
  </si>
  <si>
    <t xml:space="preserve">Bouvines</t>
  </si>
  <si>
    <t xml:space="preserve">1214</t>
  </si>
  <si>
    <t xml:space="preserve">/new-story Bouvines : la victoire fondatrice de Philippe Auguste</t>
  </si>
  <si>
    <t xml:space="preserve">Montségur et la chute des cathares</t>
  </si>
  <si>
    <t xml:space="preserve">Cathares</t>
  </si>
  <si>
    <t xml:space="preserve">Montségur</t>
  </si>
  <si>
    <t xml:space="preserve">1244</t>
  </si>
  <si>
    <t xml:space="preserve">/new-story Montségur et la chute des cathares</t>
  </si>
  <si>
    <t xml:space="preserve">Carcassonne, la cité fortifiée</t>
  </si>
  <si>
    <t xml:space="preserve">Carcassonne</t>
  </si>
  <si>
    <t xml:space="preserve">/new-story Carcassonne, la cité fortifiée</t>
  </si>
  <si>
    <t xml:space="preserve">Chartres, la cathédrale et son pèlerinage</t>
  </si>
  <si>
    <t xml:space="preserve">Chartres</t>
  </si>
  <si>
    <t xml:space="preserve">XIIe-XIIIe s.</t>
  </si>
  <si>
    <t xml:space="preserve">/new-story Chartres, la cathédrale et son pèlerinage</t>
  </si>
  <si>
    <t xml:space="preserve">10 · XIVe-XVe s. · Guerre de Cent Ans</t>
  </si>
  <si>
    <t xml:space="preserve">Crécy : le désastre de la chevalerie française</t>
  </si>
  <si>
    <t xml:space="preserve">Édouard III, Philippe VI</t>
  </si>
  <si>
    <t xml:space="preserve">Crécy-en-Ponthieu</t>
  </si>
  <si>
    <t xml:space="preserve">1346</t>
  </si>
  <si>
    <t xml:space="preserve">/new-story Crécy : le désastre de la chevalerie française</t>
  </si>
  <si>
    <t xml:space="preserve">Les bourgeois de Calais</t>
  </si>
  <si>
    <t xml:space="preserve">Eustache de Saint-Pierre</t>
  </si>
  <si>
    <t xml:space="preserve">Calais</t>
  </si>
  <si>
    <t xml:space="preserve">1347</t>
  </si>
  <si>
    <t xml:space="preserve">/new-story Les bourgeois de Calais</t>
  </si>
  <si>
    <t xml:space="preserve">Azincourt : nouvelle déroute française</t>
  </si>
  <si>
    <t xml:space="preserve">Henri V</t>
  </si>
  <si>
    <t xml:space="preserve">Azincourt</t>
  </si>
  <si>
    <t xml:space="preserve">1415</t>
  </si>
  <si>
    <t xml:space="preserve">/new-story Azincourt : nouvelle déroute française</t>
  </si>
  <si>
    <t xml:space="preserve">Domrémy, le village de Jeanne d'Arc</t>
  </si>
  <si>
    <t xml:space="preserve">Domrémy-la-Pucelle</t>
  </si>
  <si>
    <t xml:space="preserve">v. 1412</t>
  </si>
  <si>
    <t xml:space="preserve">/new-story Domrémy, le village de Jeanne d'Arc</t>
  </si>
  <si>
    <t xml:space="preserve">Jeanne d'Arc délivre Orléans</t>
  </si>
  <si>
    <t xml:space="preserve">Orléans</t>
  </si>
  <si>
    <t xml:space="preserve">/new-story Jeanne d'Arc délivre Orléans</t>
  </si>
  <si>
    <t xml:space="preserve">Le sacre de Charles VII à Reims</t>
  </si>
  <si>
    <t xml:space="preserve">Charles VII, Jeanne d'Arc</t>
  </si>
  <si>
    <t xml:space="preserve">/new-story Le sacre de Charles VII à Reims</t>
  </si>
  <si>
    <t xml:space="preserve">Jeanne d'Arc brûlée à Rouen</t>
  </si>
  <si>
    <t xml:space="preserve">Place du Vieux-Marché, Rouen</t>
  </si>
  <si>
    <t xml:space="preserve">1431</t>
  </si>
  <si>
    <t xml:space="preserve">/new-story Jeanne d'Arc brûlée à Rouen</t>
  </si>
  <si>
    <t xml:space="preserve">11 · XVIe s. · Renaissance et Religion</t>
  </si>
  <si>
    <t xml:space="preserve">Chambord, le château-manifeste de François Ier</t>
  </si>
  <si>
    <t xml:space="preserve">Chambord</t>
  </si>
  <si>
    <t xml:space="preserve">1519 →</t>
  </si>
  <si>
    <t xml:space="preserve">/new-story Chambord, le château-manifeste de François Ier</t>
  </si>
  <si>
    <t xml:space="preserve">Léonard de Vinci au Clos Lucé d'Amboise</t>
  </si>
  <si>
    <t xml:space="preserve">Léonard de Vinci, François Ier</t>
  </si>
  <si>
    <t xml:space="preserve">Amboise (Clos Lucé)</t>
  </si>
  <si>
    <t xml:space="preserve">1516-1519</t>
  </si>
  <si>
    <t xml:space="preserve">/new-story Léonard de Vinci au Clos Lucé d'Amboise</t>
  </si>
  <si>
    <t xml:space="preserve">12 · XVIIe s. · Le Grand Siècle</t>
  </si>
  <si>
    <t xml:space="preserve">Le siège de La Rochelle et la fin de l'État protestant</t>
  </si>
  <si>
    <t xml:space="preserve">Richelieu, Louis XIII</t>
  </si>
  <si>
    <t xml:space="preserve">La Rochelle</t>
  </si>
  <si>
    <t xml:space="preserve">1627-1628</t>
  </si>
  <si>
    <t xml:space="preserve">/new-story Le siège de La Rochelle et la fin de l'État protestant</t>
  </si>
  <si>
    <t xml:space="preserve">Louis XIV traverse son royaume vers son mariage, Lully en tête</t>
  </si>
  <si>
    <t xml:space="preserve">Louis XIV, Lully</t>
  </si>
  <si>
    <t xml:space="preserve">Saint-Jean-de-Luz</t>
  </si>
  <si>
    <t xml:space="preserve">1660</t>
  </si>
  <si>
    <t xml:space="preserve">/new-story Louis XIV traverse son royaume vers son mariage, Lully en tête</t>
  </si>
  <si>
    <t xml:space="preserve">Vauban fortifie les frontières</t>
  </si>
  <si>
    <t xml:space="preserve">Vauban</t>
  </si>
  <si>
    <t xml:space="preserve">Citadelle de Besançon</t>
  </si>
  <si>
    <t xml:space="preserve">/new-story Vauban fortifie les frontières</t>
  </si>
  <si>
    <t xml:space="preserve">Le Canal du Midi de Pierre-Paul Riquet</t>
  </si>
  <si>
    <t xml:space="preserve">Riquet</t>
  </si>
  <si>
    <t xml:space="preserve">Seuil de Naurouze</t>
  </si>
  <si>
    <t xml:space="preserve">1666-1681</t>
  </si>
  <si>
    <t xml:space="preserve">/new-story Le Canal du Midi de Pierre-Paul Riquet</t>
  </si>
  <si>
    <t xml:space="preserve">13 · XVIIIe s. · Les routes du roi</t>
  </si>
  <si>
    <t xml:space="preserve">Les grandes routes royales et les relais de poste</t>
  </si>
  <si>
    <t xml:space="preserve">Ponts et Chaussées</t>
  </si>
  <si>
    <t xml:space="preserve">Saintes (voie royale)</t>
  </si>
  <si>
    <t xml:space="preserve">XVIIIe s.</t>
  </si>
  <si>
    <t xml:space="preserve">/new-story Les grandes routes royales et les relais de poste</t>
  </si>
  <si>
    <t xml:space="preserve">La fuite du roi arrêtée à Varennes</t>
  </si>
  <si>
    <t xml:space="preserve">Louis XVI</t>
  </si>
  <si>
    <t xml:space="preserve">Varennes-en-Argonne</t>
  </si>
  <si>
    <t xml:space="preserve">1791</t>
  </si>
  <si>
    <t xml:space="preserve">/new-story La fuite du roi arrêtée à Varennes</t>
  </si>
  <si>
    <t xml:space="preserve">14 · XIXe s. · La révolution du rail</t>
  </si>
  <si>
    <t xml:space="preserve">La première ligne de chemin de fer (Saint-Étienne–Andrézieux)</t>
  </si>
  <si>
    <t xml:space="preserve">Saint-Étienne</t>
  </si>
  <si>
    <t xml:space="preserve">1827</t>
  </si>
  <si>
    <t xml:space="preserve">/new-story La première ligne de chemin de fer (Saint-Étienne–Andrézieux)</t>
  </si>
  <si>
    <t xml:space="preserve">L'essor du rail abandonne les routes</t>
  </si>
  <si>
    <t xml:space="preserve">Saint-Germain-en-Laye</t>
  </si>
  <si>
    <t xml:space="preserve">1837 →</t>
  </si>
  <si>
    <t xml:space="preserve">/new-story L'essor du rail abandonne les routes</t>
  </si>
  <si>
    <t xml:space="preserve">15 · XIXe-XXe s. · Vélo et automobile</t>
  </si>
  <si>
    <t xml:space="preserve">La course Paris–Bordeaux–Paris, naissance de l'automobile</t>
  </si>
  <si>
    <t xml:space="preserve">Levassor</t>
  </si>
  <si>
    <t xml:space="preserve">Bordeaux</t>
  </si>
  <si>
    <t xml:space="preserve">1895</t>
  </si>
  <si>
    <t xml:space="preserve">/new-story La course Paris–Bordeaux–Paris, naissance de l'automobile</t>
  </si>
  <si>
    <t xml:space="preserve">16 · XXe-XXIe s. · Routes modernes</t>
  </si>
  <si>
    <t xml:space="preserve">Le tunnel sous la Manche</t>
  </si>
  <si>
    <t xml:space="preserve">Coquelles / Calais</t>
  </si>
  <si>
    <t xml:space="preserve">1994</t>
  </si>
  <si>
    <t xml:space="preserve">/new-story Le tunnel sous la Manche</t>
  </si>
  <si>
    <t xml:space="preserve">Décompte</t>
  </si>
  <si>
    <t xml:space="preserve">Par livre</t>
  </si>
  <si>
    <t xml:space="preserve">Nombre</t>
  </si>
  <si>
    <t xml:space="preserve">TOTAL</t>
  </si>
  <si>
    <t xml:space="preserve">Par chapitre</t>
  </si>
  <si>
    <t xml:space="preserve">Chapitre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</si>
</sst>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C9A227"/>
        <bgColor rgb="FF99CC00"/>
      </patternFill>
    </fill>
    <fill>
      <patternFill patternType="solid">
        <fgColor rgb="FFEAF1FB"/>
        <bgColor rgb="FFE9EEF5"/>
      </patternFill>
    </fill>
    <fill>
      <patternFill patternType="solid">
        <fgColor rgb="FFEFF7EE"/>
        <bgColor rgb="FFF2F4F7"/>
      </patternFill>
    </fill>
    <fill>
      <patternFill patternType="solid">
        <fgColor rgb="FFF2F4F7"/>
        <bgColor rgb="FFEFF7EE"/>
      </patternFill>
    </fill>
    <fill>
      <patternFill patternType="solid">
        <fgColor rgb="FFE9EEF5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9A227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FF7EE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A5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7EE"/>
      <rgbColor rgb="FFEAF1FB"/>
      <rgbColor rgb="FF660066"/>
      <rgbColor rgb="FFFF8080"/>
      <rgbColor rgb="FF0066CC"/>
      <rgbColor rgb="FFC8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EF5"/>
      <rgbColor rgb="FFF2F4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9" min="8" style="0" width="9"/>
    <col collapsed="false" customWidth="true" hidden="false" outlineLevel="0" max="10" min="10" style="0" width="15"/>
    <col collapsed="false" customWidth="true" hidden="false" outlineLevel="0" max="11" min="11" style="0" width="42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n">
        <v>1</v>
      </c>
      <c r="B5" s="4" t="s">
        <v>14</v>
      </c>
      <c r="C5" s="5" t="s">
        <v>15</v>
      </c>
      <c r="D5" s="4" t="n">
        <v>1</v>
      </c>
      <c r="E5" s="6" t="s">
        <v>16</v>
      </c>
      <c r="F5" s="6" t="s">
        <v>17</v>
      </c>
      <c r="G5" s="6" t="s">
        <v>18</v>
      </c>
      <c r="H5" s="7" t="n">
        <v>48.855</v>
      </c>
      <c r="I5" s="7" t="n">
        <v>2.347</v>
      </c>
      <c r="J5" s="6" t="s">
        <v>19</v>
      </c>
      <c r="K5" s="6" t="s">
        <v>20</v>
      </c>
      <c r="L5" s="6"/>
    </row>
    <row r="6" customFormat="false" ht="23.85" hidden="false" customHeight="false" outlineLevel="0" collapsed="false">
      <c r="A6" s="4" t="n">
        <v>2</v>
      </c>
      <c r="B6" s="4" t="s">
        <v>14</v>
      </c>
      <c r="C6" s="5" t="s">
        <v>15</v>
      </c>
      <c r="D6" s="4" t="n">
        <v>2</v>
      </c>
      <c r="E6" s="6" t="s">
        <v>21</v>
      </c>
      <c r="F6" s="6" t="s">
        <v>22</v>
      </c>
      <c r="G6" s="6" t="s">
        <v>23</v>
      </c>
      <c r="H6" s="7" t="n">
        <v>48.853</v>
      </c>
      <c r="I6" s="7" t="n">
        <v>2.3499</v>
      </c>
      <c r="J6" s="6" t="s">
        <v>19</v>
      </c>
      <c r="K6" s="6" t="s">
        <v>24</v>
      </c>
      <c r="L6" s="6"/>
    </row>
    <row r="7" customFormat="false" ht="15" hidden="false" customHeight="false" outlineLevel="0" collapsed="false">
      <c r="A7" s="4" t="n">
        <v>3</v>
      </c>
      <c r="B7" s="4" t="s">
        <v>14</v>
      </c>
      <c r="C7" s="5" t="s">
        <v>15</v>
      </c>
      <c r="D7" s="4" t="n">
        <v>3</v>
      </c>
      <c r="E7" s="6" t="s">
        <v>25</v>
      </c>
      <c r="F7" s="6" t="s">
        <v>17</v>
      </c>
      <c r="G7" s="6" t="s">
        <v>26</v>
      </c>
      <c r="H7" s="7" t="n">
        <v>48.8454</v>
      </c>
      <c r="I7" s="7" t="n">
        <v>2.353</v>
      </c>
      <c r="J7" s="6" t="s">
        <v>27</v>
      </c>
      <c r="K7" s="6" t="s">
        <v>28</v>
      </c>
      <c r="L7" s="6"/>
    </row>
    <row r="8" customFormat="false" ht="23.85" hidden="false" customHeight="false" outlineLevel="0" collapsed="false">
      <c r="A8" s="4" t="n">
        <v>4</v>
      </c>
      <c r="B8" s="4" t="s">
        <v>14</v>
      </c>
      <c r="C8" s="5" t="s">
        <v>29</v>
      </c>
      <c r="D8" s="4" t="n">
        <v>1</v>
      </c>
      <c r="E8" s="6" t="s">
        <v>30</v>
      </c>
      <c r="F8" s="6" t="s">
        <v>17</v>
      </c>
      <c r="G8" s="6" t="s">
        <v>31</v>
      </c>
      <c r="H8" s="7" t="n">
        <v>48.8462</v>
      </c>
      <c r="I8" s="7" t="n">
        <v>2.344</v>
      </c>
      <c r="J8" s="6" t="s">
        <v>32</v>
      </c>
      <c r="K8" s="6" t="s">
        <v>33</v>
      </c>
      <c r="L8" s="6"/>
    </row>
    <row r="9" customFormat="false" ht="23.85" hidden="false" customHeight="false" outlineLevel="0" collapsed="false">
      <c r="A9" s="4" t="n">
        <v>5</v>
      </c>
      <c r="B9" s="4" t="s">
        <v>14</v>
      </c>
      <c r="C9" s="5" t="s">
        <v>29</v>
      </c>
      <c r="D9" s="4" t="n">
        <v>2</v>
      </c>
      <c r="E9" s="6" t="s">
        <v>34</v>
      </c>
      <c r="F9" s="6" t="s">
        <v>17</v>
      </c>
      <c r="G9" s="6" t="s">
        <v>35</v>
      </c>
      <c r="H9" s="7" t="n">
        <v>48.8312</v>
      </c>
      <c r="I9" s="7" t="n">
        <v>2.3558</v>
      </c>
      <c r="J9" s="6" t="s">
        <v>32</v>
      </c>
      <c r="K9" s="6" t="s">
        <v>36</v>
      </c>
      <c r="L9" s="6"/>
    </row>
    <row r="10" customFormat="false" ht="23.85" hidden="false" customHeight="false" outlineLevel="0" collapsed="false">
      <c r="A10" s="4" t="n">
        <v>6</v>
      </c>
      <c r="B10" s="4" t="s">
        <v>14</v>
      </c>
      <c r="C10" s="5" t="s">
        <v>29</v>
      </c>
      <c r="D10" s="4" t="n">
        <v>3</v>
      </c>
      <c r="E10" s="6" t="s">
        <v>37</v>
      </c>
      <c r="F10" s="6" t="s">
        <v>17</v>
      </c>
      <c r="G10" s="6" t="s">
        <v>38</v>
      </c>
      <c r="H10" s="7" t="n">
        <v>48.844</v>
      </c>
      <c r="I10" s="7" t="n">
        <v>2.345</v>
      </c>
      <c r="J10" s="6" t="s">
        <v>39</v>
      </c>
      <c r="K10" s="6" t="s">
        <v>40</v>
      </c>
      <c r="L10" s="6"/>
    </row>
    <row r="11" customFormat="false" ht="23.85" hidden="false" customHeight="false" outlineLevel="0" collapsed="false">
      <c r="A11" s="4" t="n">
        <v>7</v>
      </c>
      <c r="B11" s="4" t="s">
        <v>14</v>
      </c>
      <c r="C11" s="5" t="s">
        <v>41</v>
      </c>
      <c r="D11" s="4" t="n">
        <v>1</v>
      </c>
      <c r="E11" s="6" t="s">
        <v>42</v>
      </c>
      <c r="F11" s="6" t="s">
        <v>43</v>
      </c>
      <c r="G11" s="6" t="s">
        <v>44</v>
      </c>
      <c r="H11" s="7" t="n">
        <v>48.8867</v>
      </c>
      <c r="I11" s="7" t="n">
        <v>2.3431</v>
      </c>
      <c r="J11" s="6" t="s">
        <v>45</v>
      </c>
      <c r="K11" s="6" t="s">
        <v>46</v>
      </c>
      <c r="L11" s="6"/>
    </row>
    <row r="12" customFormat="false" ht="23.85" hidden="false" customHeight="false" outlineLevel="0" collapsed="false">
      <c r="A12" s="4" t="n">
        <v>8</v>
      </c>
      <c r="B12" s="4" t="s">
        <v>14</v>
      </c>
      <c r="C12" s="5" t="s">
        <v>41</v>
      </c>
      <c r="D12" s="4" t="n">
        <v>2</v>
      </c>
      <c r="E12" s="6" t="s">
        <v>47</v>
      </c>
      <c r="F12" s="6" t="s">
        <v>43</v>
      </c>
      <c r="G12" s="6" t="s">
        <v>48</v>
      </c>
      <c r="H12" s="7" t="n">
        <v>48.91</v>
      </c>
      <c r="I12" s="7" t="n">
        <v>2.35</v>
      </c>
      <c r="J12" s="6" t="s">
        <v>45</v>
      </c>
      <c r="K12" s="6" t="s">
        <v>49</v>
      </c>
      <c r="L12" s="6" t="s">
        <v>50</v>
      </c>
    </row>
    <row r="13" customFormat="false" ht="23.85" hidden="false" customHeight="false" outlineLevel="0" collapsed="false">
      <c r="A13" s="4" t="n">
        <v>9</v>
      </c>
      <c r="B13" s="4" t="s">
        <v>14</v>
      </c>
      <c r="C13" s="5" t="s">
        <v>41</v>
      </c>
      <c r="D13" s="4" t="n">
        <v>3</v>
      </c>
      <c r="E13" s="6" t="s">
        <v>51</v>
      </c>
      <c r="F13" s="6" t="s">
        <v>17</v>
      </c>
      <c r="G13" s="6" t="s">
        <v>52</v>
      </c>
      <c r="H13" s="7" t="n">
        <v>48.8424</v>
      </c>
      <c r="I13" s="7" t="n">
        <v>2.33</v>
      </c>
      <c r="J13" s="6" t="s">
        <v>45</v>
      </c>
      <c r="K13" s="6" t="s">
        <v>53</v>
      </c>
      <c r="L13" s="6"/>
    </row>
    <row r="14" customFormat="false" ht="23.85" hidden="false" customHeight="false" outlineLevel="0" collapsed="false">
      <c r="A14" s="4" t="n">
        <v>10</v>
      </c>
      <c r="B14" s="4" t="s">
        <v>14</v>
      </c>
      <c r="C14" s="5" t="s">
        <v>54</v>
      </c>
      <c r="D14" s="4" t="n">
        <v>1</v>
      </c>
      <c r="E14" s="6" t="s">
        <v>55</v>
      </c>
      <c r="F14" s="6" t="s">
        <v>56</v>
      </c>
      <c r="G14" s="6" t="s">
        <v>57</v>
      </c>
      <c r="H14" s="7" t="n">
        <v>48.8503</v>
      </c>
      <c r="I14" s="7" t="n">
        <v>2.3439</v>
      </c>
      <c r="J14" s="6" t="s">
        <v>58</v>
      </c>
      <c r="K14" s="6" t="s">
        <v>59</v>
      </c>
      <c r="L14" s="6"/>
    </row>
    <row r="15" customFormat="false" ht="23.85" hidden="false" customHeight="false" outlineLevel="0" collapsed="false">
      <c r="A15" s="4" t="n">
        <v>11</v>
      </c>
      <c r="B15" s="4" t="s">
        <v>14</v>
      </c>
      <c r="C15" s="5" t="s">
        <v>54</v>
      </c>
      <c r="D15" s="4" t="n">
        <v>2</v>
      </c>
      <c r="E15" s="6" t="s">
        <v>60</v>
      </c>
      <c r="F15" s="6" t="s">
        <v>61</v>
      </c>
      <c r="G15" s="6" t="s">
        <v>62</v>
      </c>
      <c r="H15" s="7" t="n">
        <v>48.8503</v>
      </c>
      <c r="I15" s="7" t="n">
        <v>2.3439</v>
      </c>
      <c r="J15" s="6" t="s">
        <v>63</v>
      </c>
      <c r="K15" s="6" t="s">
        <v>64</v>
      </c>
      <c r="L15" s="6"/>
    </row>
    <row r="16" customFormat="false" ht="15" hidden="false" customHeight="false" outlineLevel="0" collapsed="false">
      <c r="A16" s="4" t="n">
        <v>12</v>
      </c>
      <c r="B16" s="4" t="s">
        <v>14</v>
      </c>
      <c r="C16" s="5" t="s">
        <v>54</v>
      </c>
      <c r="D16" s="4" t="n">
        <v>3</v>
      </c>
      <c r="E16" s="6" t="s">
        <v>65</v>
      </c>
      <c r="F16" s="6" t="s">
        <v>66</v>
      </c>
      <c r="G16" s="6" t="s">
        <v>67</v>
      </c>
      <c r="H16" s="7" t="n">
        <v>48.8636</v>
      </c>
      <c r="I16" s="7" t="n">
        <v>2.3527</v>
      </c>
      <c r="J16" s="6" t="s">
        <v>68</v>
      </c>
      <c r="K16" s="6" t="s">
        <v>69</v>
      </c>
      <c r="L16" s="6"/>
    </row>
    <row r="17" customFormat="false" ht="23.85" hidden="false" customHeight="false" outlineLevel="0" collapsed="false">
      <c r="A17" s="4" t="n">
        <v>13</v>
      </c>
      <c r="B17" s="4" t="s">
        <v>14</v>
      </c>
      <c r="C17" s="5" t="s">
        <v>54</v>
      </c>
      <c r="D17" s="4" t="n">
        <v>4</v>
      </c>
      <c r="E17" s="6" t="s">
        <v>70</v>
      </c>
      <c r="F17" s="6" t="s">
        <v>17</v>
      </c>
      <c r="G17" s="6" t="s">
        <v>18</v>
      </c>
      <c r="H17" s="7" t="n">
        <v>48.855</v>
      </c>
      <c r="I17" s="7" t="n">
        <v>2.347</v>
      </c>
      <c r="J17" s="6" t="s">
        <v>71</v>
      </c>
      <c r="K17" s="6" t="s">
        <v>72</v>
      </c>
      <c r="L17" s="6"/>
    </row>
    <row r="18" customFormat="false" ht="23.85" hidden="false" customHeight="false" outlineLevel="0" collapsed="false">
      <c r="A18" s="4" t="n">
        <v>14</v>
      </c>
      <c r="B18" s="4" t="s">
        <v>14</v>
      </c>
      <c r="C18" s="5" t="s">
        <v>73</v>
      </c>
      <c r="D18" s="4" t="n">
        <v>1</v>
      </c>
      <c r="E18" s="6" t="s">
        <v>74</v>
      </c>
      <c r="F18" s="6" t="s">
        <v>75</v>
      </c>
      <c r="G18" s="6" t="s">
        <v>18</v>
      </c>
      <c r="H18" s="7" t="n">
        <v>48.8554</v>
      </c>
      <c r="I18" s="7" t="n">
        <v>2.345</v>
      </c>
      <c r="J18" s="6" t="s">
        <v>76</v>
      </c>
      <c r="K18" s="6" t="s">
        <v>77</v>
      </c>
      <c r="L18" s="6"/>
    </row>
    <row r="19" customFormat="false" ht="23.85" hidden="false" customHeight="false" outlineLevel="0" collapsed="false">
      <c r="A19" s="4" t="n">
        <v>15</v>
      </c>
      <c r="B19" s="4" t="s">
        <v>14</v>
      </c>
      <c r="C19" s="5" t="s">
        <v>73</v>
      </c>
      <c r="D19" s="4" t="n">
        <v>2</v>
      </c>
      <c r="E19" s="6" t="s">
        <v>78</v>
      </c>
      <c r="F19" s="6" t="s">
        <v>79</v>
      </c>
      <c r="G19" s="6" t="s">
        <v>17</v>
      </c>
      <c r="H19" s="7" t="n">
        <v>48.8554</v>
      </c>
      <c r="I19" s="7" t="n">
        <v>2.345</v>
      </c>
      <c r="J19" s="6" t="s">
        <v>76</v>
      </c>
      <c r="K19" s="6" t="s">
        <v>80</v>
      </c>
      <c r="L19" s="6"/>
    </row>
    <row r="20" customFormat="false" ht="23.85" hidden="false" customHeight="false" outlineLevel="0" collapsed="false">
      <c r="A20" s="4" t="n">
        <v>16</v>
      </c>
      <c r="B20" s="4" t="s">
        <v>14</v>
      </c>
      <c r="C20" s="5" t="s">
        <v>81</v>
      </c>
      <c r="D20" s="4" t="n">
        <v>1</v>
      </c>
      <c r="E20" s="6" t="s">
        <v>82</v>
      </c>
      <c r="F20" s="6" t="s">
        <v>83</v>
      </c>
      <c r="G20" s="6" t="s">
        <v>84</v>
      </c>
      <c r="H20" s="7" t="n">
        <v>48.8462</v>
      </c>
      <c r="I20" s="7" t="n">
        <v>2.3464</v>
      </c>
      <c r="J20" s="6" t="s">
        <v>85</v>
      </c>
      <c r="K20" s="6" t="s">
        <v>86</v>
      </c>
      <c r="L20" s="6"/>
    </row>
    <row r="21" customFormat="false" ht="23.85" hidden="false" customHeight="false" outlineLevel="0" collapsed="false">
      <c r="A21" s="4" t="n">
        <v>17</v>
      </c>
      <c r="B21" s="4" t="s">
        <v>14</v>
      </c>
      <c r="C21" s="5" t="s">
        <v>81</v>
      </c>
      <c r="D21" s="4" t="n">
        <v>2</v>
      </c>
      <c r="E21" s="6" t="s">
        <v>87</v>
      </c>
      <c r="F21" s="6" t="s">
        <v>88</v>
      </c>
      <c r="G21" s="6" t="s">
        <v>89</v>
      </c>
      <c r="H21" s="7" t="n">
        <v>48.8539</v>
      </c>
      <c r="I21" s="7" t="n">
        <v>2.334</v>
      </c>
      <c r="J21" s="6" t="s">
        <v>90</v>
      </c>
      <c r="K21" s="6" t="s">
        <v>91</v>
      </c>
      <c r="L21" s="6"/>
    </row>
    <row r="22" customFormat="false" ht="23.85" hidden="false" customHeight="false" outlineLevel="0" collapsed="false">
      <c r="A22" s="4" t="n">
        <v>18</v>
      </c>
      <c r="B22" s="4" t="s">
        <v>14</v>
      </c>
      <c r="C22" s="5" t="s">
        <v>81</v>
      </c>
      <c r="D22" s="4" t="n">
        <v>3</v>
      </c>
      <c r="E22" s="6" t="s">
        <v>92</v>
      </c>
      <c r="F22" s="6" t="s">
        <v>93</v>
      </c>
      <c r="G22" s="6" t="s">
        <v>17</v>
      </c>
      <c r="H22" s="7" t="n">
        <v>48.8539</v>
      </c>
      <c r="I22" s="7" t="n">
        <v>2.334</v>
      </c>
      <c r="J22" s="6" t="s">
        <v>90</v>
      </c>
      <c r="K22" s="6" t="s">
        <v>94</v>
      </c>
      <c r="L22" s="6"/>
    </row>
    <row r="23" customFormat="false" ht="23.85" hidden="false" customHeight="false" outlineLevel="0" collapsed="false">
      <c r="A23" s="4" t="n">
        <v>19</v>
      </c>
      <c r="B23" s="4" t="s">
        <v>14</v>
      </c>
      <c r="C23" s="5" t="s">
        <v>95</v>
      </c>
      <c r="D23" s="4" t="n">
        <v>1</v>
      </c>
      <c r="E23" s="6" t="s">
        <v>96</v>
      </c>
      <c r="F23" s="6" t="s">
        <v>97</v>
      </c>
      <c r="G23" s="6" t="s">
        <v>98</v>
      </c>
      <c r="H23" s="7" t="n">
        <v>48.9355</v>
      </c>
      <c r="I23" s="7" t="n">
        <v>2.3593</v>
      </c>
      <c r="J23" s="6" t="s">
        <v>99</v>
      </c>
      <c r="K23" s="6" t="s">
        <v>100</v>
      </c>
      <c r="L23" s="6"/>
    </row>
    <row r="24" customFormat="false" ht="15" hidden="false" customHeight="false" outlineLevel="0" collapsed="false">
      <c r="A24" s="4" t="n">
        <v>20</v>
      </c>
      <c r="B24" s="4" t="s">
        <v>14</v>
      </c>
      <c r="C24" s="5" t="s">
        <v>95</v>
      </c>
      <c r="D24" s="4" t="n">
        <v>2</v>
      </c>
      <c r="E24" s="6" t="s">
        <v>101</v>
      </c>
      <c r="F24" s="6" t="s">
        <v>102</v>
      </c>
      <c r="G24" s="6" t="s">
        <v>98</v>
      </c>
      <c r="H24" s="7" t="n">
        <v>48.9355</v>
      </c>
      <c r="I24" s="7" t="n">
        <v>2.3593</v>
      </c>
      <c r="J24" s="6" t="s">
        <v>99</v>
      </c>
      <c r="K24" s="6" t="s">
        <v>103</v>
      </c>
      <c r="L24" s="6"/>
    </row>
    <row r="25" customFormat="false" ht="23.85" hidden="false" customHeight="false" outlineLevel="0" collapsed="false">
      <c r="A25" s="4" t="n">
        <v>21</v>
      </c>
      <c r="B25" s="4" t="s">
        <v>14</v>
      </c>
      <c r="C25" s="5" t="s">
        <v>95</v>
      </c>
      <c r="D25" s="4" t="n">
        <v>3</v>
      </c>
      <c r="E25" s="6" t="s">
        <v>104</v>
      </c>
      <c r="F25" s="6" t="s">
        <v>17</v>
      </c>
      <c r="G25" s="6" t="s">
        <v>98</v>
      </c>
      <c r="H25" s="7" t="n">
        <v>48.9355</v>
      </c>
      <c r="I25" s="7" t="n">
        <v>2.3593</v>
      </c>
      <c r="J25" s="6" t="s">
        <v>105</v>
      </c>
      <c r="K25" s="6" t="s">
        <v>106</v>
      </c>
      <c r="L25" s="6"/>
    </row>
    <row r="26" customFormat="false" ht="23.85" hidden="false" customHeight="false" outlineLevel="0" collapsed="false">
      <c r="A26" s="4" t="n">
        <v>22</v>
      </c>
      <c r="B26" s="4" t="s">
        <v>14</v>
      </c>
      <c r="C26" s="5" t="s">
        <v>107</v>
      </c>
      <c r="D26" s="4" t="n">
        <v>1</v>
      </c>
      <c r="E26" s="6" t="s">
        <v>108</v>
      </c>
      <c r="F26" s="6" t="s">
        <v>109</v>
      </c>
      <c r="G26" s="6" t="s">
        <v>18</v>
      </c>
      <c r="H26" s="7" t="n">
        <v>48.8554</v>
      </c>
      <c r="I26" s="7" t="n">
        <v>2.345</v>
      </c>
      <c r="J26" s="6" t="s">
        <v>110</v>
      </c>
      <c r="K26" s="6" t="s">
        <v>111</v>
      </c>
      <c r="L26" s="6"/>
    </row>
    <row r="27" customFormat="false" ht="23.85" hidden="false" customHeight="false" outlineLevel="0" collapsed="false">
      <c r="A27" s="4" t="n">
        <v>23</v>
      </c>
      <c r="B27" s="4" t="s">
        <v>14</v>
      </c>
      <c r="C27" s="5" t="s">
        <v>107</v>
      </c>
      <c r="D27" s="4" t="n">
        <v>2</v>
      </c>
      <c r="E27" s="6" t="s">
        <v>112</v>
      </c>
      <c r="F27" s="6" t="s">
        <v>113</v>
      </c>
      <c r="G27" s="6" t="s">
        <v>18</v>
      </c>
      <c r="H27" s="7" t="n">
        <v>48.8554</v>
      </c>
      <c r="I27" s="7" t="n">
        <v>2.345</v>
      </c>
      <c r="J27" s="6" t="s">
        <v>110</v>
      </c>
      <c r="K27" s="6" t="s">
        <v>114</v>
      </c>
      <c r="L27" s="6"/>
    </row>
    <row r="28" customFormat="false" ht="23.85" hidden="false" customHeight="false" outlineLevel="0" collapsed="false">
      <c r="A28" s="4" t="n">
        <v>24</v>
      </c>
      <c r="B28" s="4" t="s">
        <v>14</v>
      </c>
      <c r="C28" s="5" t="s">
        <v>107</v>
      </c>
      <c r="D28" s="4" t="n">
        <v>3</v>
      </c>
      <c r="E28" s="6" t="s">
        <v>115</v>
      </c>
      <c r="F28" s="6" t="s">
        <v>116</v>
      </c>
      <c r="G28" s="6" t="s">
        <v>17</v>
      </c>
      <c r="H28" s="7" t="n">
        <v>48.8554</v>
      </c>
      <c r="I28" s="7" t="n">
        <v>2.345</v>
      </c>
      <c r="J28" s="6" t="s">
        <v>117</v>
      </c>
      <c r="K28" s="6" t="s">
        <v>118</v>
      </c>
      <c r="L28" s="6"/>
    </row>
    <row r="29" customFormat="false" ht="15" hidden="false" customHeight="false" outlineLevel="0" collapsed="false">
      <c r="A29" s="4" t="n">
        <v>25</v>
      </c>
      <c r="B29" s="4" t="s">
        <v>14</v>
      </c>
      <c r="C29" s="5" t="s">
        <v>119</v>
      </c>
      <c r="D29" s="4" t="n">
        <v>1</v>
      </c>
      <c r="E29" s="6" t="s">
        <v>120</v>
      </c>
      <c r="F29" s="6" t="s">
        <v>121</v>
      </c>
      <c r="G29" s="6" t="s">
        <v>18</v>
      </c>
      <c r="H29" s="7" t="n">
        <v>48.8556</v>
      </c>
      <c r="I29" s="7" t="n">
        <v>2.345</v>
      </c>
      <c r="J29" s="6" t="s">
        <v>122</v>
      </c>
      <c r="K29" s="6" t="s">
        <v>123</v>
      </c>
      <c r="L29" s="6"/>
    </row>
    <row r="30" customFormat="false" ht="23.85" hidden="false" customHeight="false" outlineLevel="0" collapsed="false">
      <c r="A30" s="4" t="n">
        <v>26</v>
      </c>
      <c r="B30" s="4" t="s">
        <v>14</v>
      </c>
      <c r="C30" s="5" t="s">
        <v>119</v>
      </c>
      <c r="D30" s="4" t="n">
        <v>2</v>
      </c>
      <c r="E30" s="6" t="s">
        <v>124</v>
      </c>
      <c r="F30" s="6" t="s">
        <v>125</v>
      </c>
      <c r="G30" s="6" t="s">
        <v>17</v>
      </c>
      <c r="H30" s="7" t="n">
        <v>48.8556</v>
      </c>
      <c r="I30" s="7" t="n">
        <v>2.345</v>
      </c>
      <c r="J30" s="6" t="s">
        <v>126</v>
      </c>
      <c r="K30" s="6" t="s">
        <v>127</v>
      </c>
      <c r="L30" s="6"/>
    </row>
    <row r="31" customFormat="false" ht="15" hidden="false" customHeight="false" outlineLevel="0" collapsed="false">
      <c r="A31" s="4" t="n">
        <v>27</v>
      </c>
      <c r="B31" s="4" t="s">
        <v>14</v>
      </c>
      <c r="C31" s="5" t="s">
        <v>128</v>
      </c>
      <c r="D31" s="4" t="n">
        <v>1</v>
      </c>
      <c r="E31" s="6" t="s">
        <v>129</v>
      </c>
      <c r="F31" s="6" t="s">
        <v>17</v>
      </c>
      <c r="G31" s="6" t="s">
        <v>130</v>
      </c>
      <c r="H31" s="7" t="n">
        <v>48.8554</v>
      </c>
      <c r="I31" s="7" t="n">
        <v>2.345</v>
      </c>
      <c r="J31" s="6" t="s">
        <v>131</v>
      </c>
      <c r="K31" s="6" t="s">
        <v>132</v>
      </c>
      <c r="L31" s="6"/>
    </row>
    <row r="32" customFormat="false" ht="23.85" hidden="false" customHeight="false" outlineLevel="0" collapsed="false">
      <c r="A32" s="4" t="n">
        <v>28</v>
      </c>
      <c r="B32" s="4" t="s">
        <v>14</v>
      </c>
      <c r="C32" s="5" t="s">
        <v>128</v>
      </c>
      <c r="D32" s="4" t="n">
        <v>2</v>
      </c>
      <c r="E32" s="6" t="s">
        <v>133</v>
      </c>
      <c r="F32" s="6" t="s">
        <v>134</v>
      </c>
      <c r="G32" s="6" t="s">
        <v>135</v>
      </c>
      <c r="H32" s="7" t="n">
        <v>48.8566</v>
      </c>
      <c r="I32" s="7" t="n">
        <v>2.351</v>
      </c>
      <c r="J32" s="6" t="s">
        <v>136</v>
      </c>
      <c r="K32" s="6" t="s">
        <v>137</v>
      </c>
      <c r="L32" s="6"/>
    </row>
    <row r="33" customFormat="false" ht="23.85" hidden="false" customHeight="false" outlineLevel="0" collapsed="false">
      <c r="A33" s="4" t="n">
        <v>29</v>
      </c>
      <c r="B33" s="4" t="s">
        <v>14</v>
      </c>
      <c r="C33" s="5" t="s">
        <v>128</v>
      </c>
      <c r="D33" s="4" t="n">
        <v>3</v>
      </c>
      <c r="E33" s="6" t="s">
        <v>138</v>
      </c>
      <c r="F33" s="6" t="s">
        <v>139</v>
      </c>
      <c r="G33" s="6" t="s">
        <v>140</v>
      </c>
      <c r="H33" s="7" t="n">
        <v>48.8566</v>
      </c>
      <c r="I33" s="7" t="n">
        <v>2.347</v>
      </c>
      <c r="J33" s="6" t="s">
        <v>141</v>
      </c>
      <c r="K33" s="6" t="s">
        <v>142</v>
      </c>
      <c r="L33" s="6"/>
    </row>
    <row r="34" customFormat="false" ht="15" hidden="false" customHeight="false" outlineLevel="0" collapsed="false">
      <c r="A34" s="4" t="n">
        <v>30</v>
      </c>
      <c r="B34" s="4" t="s">
        <v>14</v>
      </c>
      <c r="C34" s="5" t="s">
        <v>143</v>
      </c>
      <c r="D34" s="4" t="n">
        <v>1</v>
      </c>
      <c r="E34" s="6" t="s">
        <v>144</v>
      </c>
      <c r="F34" s="6" t="s">
        <v>17</v>
      </c>
      <c r="G34" s="6" t="s">
        <v>145</v>
      </c>
      <c r="H34" s="7" t="n">
        <v>48.8626</v>
      </c>
      <c r="I34" s="7" t="n">
        <v>2.3449</v>
      </c>
      <c r="J34" s="6" t="s">
        <v>146</v>
      </c>
      <c r="K34" s="6" t="s">
        <v>147</v>
      </c>
      <c r="L34" s="6"/>
    </row>
    <row r="35" customFormat="false" ht="15" hidden="false" customHeight="false" outlineLevel="0" collapsed="false">
      <c r="A35" s="4" t="n">
        <v>31</v>
      </c>
      <c r="B35" s="4" t="s">
        <v>14</v>
      </c>
      <c r="C35" s="5" t="s">
        <v>148</v>
      </c>
      <c r="D35" s="4" t="n">
        <v>1</v>
      </c>
      <c r="E35" s="6" t="s">
        <v>149</v>
      </c>
      <c r="F35" s="6" t="s">
        <v>17</v>
      </c>
      <c r="G35" s="6" t="s">
        <v>150</v>
      </c>
      <c r="H35" s="7" t="n">
        <v>48.8487</v>
      </c>
      <c r="I35" s="7" t="n">
        <v>2.3431</v>
      </c>
      <c r="J35" s="6" t="s">
        <v>151</v>
      </c>
      <c r="K35" s="6" t="s">
        <v>152</v>
      </c>
      <c r="L35" s="6"/>
    </row>
    <row r="36" customFormat="false" ht="15" hidden="false" customHeight="false" outlineLevel="0" collapsed="false">
      <c r="A36" s="4" t="n">
        <v>32</v>
      </c>
      <c r="B36" s="4" t="s">
        <v>14</v>
      </c>
      <c r="C36" s="5" t="s">
        <v>148</v>
      </c>
      <c r="D36" s="4" t="n">
        <v>2</v>
      </c>
      <c r="E36" s="6" t="s">
        <v>153</v>
      </c>
      <c r="F36" s="6" t="s">
        <v>154</v>
      </c>
      <c r="G36" s="6" t="s">
        <v>155</v>
      </c>
      <c r="H36" s="7" t="n">
        <v>48.8502</v>
      </c>
      <c r="I36" s="7" t="n">
        <v>2.3486</v>
      </c>
      <c r="J36" s="6" t="s">
        <v>151</v>
      </c>
      <c r="K36" s="6" t="s">
        <v>156</v>
      </c>
      <c r="L36" s="6"/>
    </row>
    <row r="37" customFormat="false" ht="23.85" hidden="false" customHeight="false" outlineLevel="0" collapsed="false">
      <c r="A37" s="4" t="n">
        <v>33</v>
      </c>
      <c r="B37" s="4" t="s">
        <v>14</v>
      </c>
      <c r="C37" s="5" t="s">
        <v>157</v>
      </c>
      <c r="D37" s="4" t="n">
        <v>1</v>
      </c>
      <c r="E37" s="6" t="s">
        <v>158</v>
      </c>
      <c r="F37" s="6" t="s">
        <v>159</v>
      </c>
      <c r="G37" s="6" t="s">
        <v>18</v>
      </c>
      <c r="H37" s="7" t="n">
        <v>48.8554</v>
      </c>
      <c r="I37" s="7" t="n">
        <v>2.345</v>
      </c>
      <c r="J37" s="6" t="s">
        <v>160</v>
      </c>
      <c r="K37" s="6" t="s">
        <v>161</v>
      </c>
      <c r="L37" s="6"/>
    </row>
    <row r="38" customFormat="false" ht="23.85" hidden="false" customHeight="false" outlineLevel="0" collapsed="false">
      <c r="A38" s="4" t="n">
        <v>34</v>
      </c>
      <c r="B38" s="4" t="s">
        <v>14</v>
      </c>
      <c r="C38" s="5" t="s">
        <v>157</v>
      </c>
      <c r="D38" s="4" t="n">
        <v>2</v>
      </c>
      <c r="E38" s="6" t="s">
        <v>162</v>
      </c>
      <c r="F38" s="6" t="s">
        <v>17</v>
      </c>
      <c r="G38" s="6" t="s">
        <v>130</v>
      </c>
      <c r="H38" s="7" t="n">
        <v>48.8554</v>
      </c>
      <c r="I38" s="7" t="n">
        <v>2.345</v>
      </c>
      <c r="J38" s="6" t="s">
        <v>163</v>
      </c>
      <c r="K38" s="6" t="s">
        <v>164</v>
      </c>
      <c r="L38" s="6"/>
    </row>
    <row r="39" customFormat="false" ht="23.85" hidden="false" customHeight="false" outlineLevel="0" collapsed="false">
      <c r="A39" s="4" t="n">
        <v>35</v>
      </c>
      <c r="B39" s="4" t="s">
        <v>14</v>
      </c>
      <c r="C39" s="5" t="s">
        <v>157</v>
      </c>
      <c r="D39" s="4" t="n">
        <v>3</v>
      </c>
      <c r="E39" s="6" t="s">
        <v>165</v>
      </c>
      <c r="F39" s="6" t="s">
        <v>166</v>
      </c>
      <c r="G39" s="6" t="s">
        <v>167</v>
      </c>
      <c r="H39" s="7" t="n">
        <v>48.8532</v>
      </c>
      <c r="I39" s="7" t="n">
        <v>2.3692</v>
      </c>
      <c r="J39" s="6" t="s">
        <v>168</v>
      </c>
      <c r="K39" s="6" t="s">
        <v>169</v>
      </c>
      <c r="L39" s="6"/>
    </row>
    <row r="40" customFormat="false" ht="23.85" hidden="false" customHeight="false" outlineLevel="0" collapsed="false">
      <c r="A40" s="4" t="n">
        <v>36</v>
      </c>
      <c r="B40" s="4" t="s">
        <v>14</v>
      </c>
      <c r="C40" s="5" t="s">
        <v>170</v>
      </c>
      <c r="D40" s="4" t="n">
        <v>1</v>
      </c>
      <c r="E40" s="6" t="s">
        <v>171</v>
      </c>
      <c r="F40" s="6" t="s">
        <v>17</v>
      </c>
      <c r="G40" s="6" t="s">
        <v>130</v>
      </c>
      <c r="H40" s="7" t="n">
        <v>48.8554</v>
      </c>
      <c r="I40" s="7" t="n">
        <v>2.345</v>
      </c>
      <c r="J40" s="6" t="s">
        <v>172</v>
      </c>
      <c r="K40" s="6" t="s">
        <v>173</v>
      </c>
      <c r="L40" s="6"/>
    </row>
    <row r="41" customFormat="false" ht="23.85" hidden="false" customHeight="false" outlineLevel="0" collapsed="false">
      <c r="A41" s="4" t="n">
        <v>37</v>
      </c>
      <c r="B41" s="4" t="s">
        <v>14</v>
      </c>
      <c r="C41" s="5" t="s">
        <v>170</v>
      </c>
      <c r="D41" s="4" t="n">
        <v>2</v>
      </c>
      <c r="E41" s="6" t="s">
        <v>174</v>
      </c>
      <c r="F41" s="6" t="s">
        <v>175</v>
      </c>
      <c r="G41" s="6" t="s">
        <v>176</v>
      </c>
      <c r="H41" s="7" t="n">
        <v>48.8649</v>
      </c>
      <c r="I41" s="7" t="n">
        <v>2.336</v>
      </c>
      <c r="J41" s="6" t="s">
        <v>177</v>
      </c>
      <c r="K41" s="6" t="s">
        <v>178</v>
      </c>
      <c r="L41" s="6"/>
    </row>
    <row r="42" customFormat="false" ht="23.85" hidden="false" customHeight="false" outlineLevel="0" collapsed="false">
      <c r="A42" s="4" t="n">
        <v>38</v>
      </c>
      <c r="B42" s="4" t="s">
        <v>14</v>
      </c>
      <c r="C42" s="5" t="s">
        <v>170</v>
      </c>
      <c r="D42" s="4" t="n">
        <v>3</v>
      </c>
      <c r="E42" s="6" t="s">
        <v>179</v>
      </c>
      <c r="F42" s="6" t="s">
        <v>166</v>
      </c>
      <c r="G42" s="6" t="s">
        <v>180</v>
      </c>
      <c r="H42" s="7" t="n">
        <v>48.8425</v>
      </c>
      <c r="I42" s="7" t="n">
        <v>2.4356</v>
      </c>
      <c r="J42" s="6" t="s">
        <v>181</v>
      </c>
      <c r="K42" s="6" t="s">
        <v>182</v>
      </c>
      <c r="L42" s="6"/>
    </row>
    <row r="43" customFormat="false" ht="15" hidden="false" customHeight="false" outlineLevel="0" collapsed="false">
      <c r="A43" s="4" t="n">
        <v>39</v>
      </c>
      <c r="B43" s="4" t="s">
        <v>14</v>
      </c>
      <c r="C43" s="5" t="s">
        <v>183</v>
      </c>
      <c r="D43" s="4" t="n">
        <v>1</v>
      </c>
      <c r="E43" s="6" t="s">
        <v>184</v>
      </c>
      <c r="F43" s="6" t="s">
        <v>185</v>
      </c>
      <c r="G43" s="6" t="s">
        <v>186</v>
      </c>
      <c r="H43" s="7" t="n">
        <v>48.8606</v>
      </c>
      <c r="I43" s="7" t="n">
        <v>2.3376</v>
      </c>
      <c r="J43" s="6" t="s">
        <v>187</v>
      </c>
      <c r="K43" s="6" t="s">
        <v>188</v>
      </c>
      <c r="L43" s="6"/>
    </row>
    <row r="44" customFormat="false" ht="23.85" hidden="false" customHeight="false" outlineLevel="0" collapsed="false">
      <c r="A44" s="4" t="n">
        <v>40</v>
      </c>
      <c r="B44" s="4" t="s">
        <v>14</v>
      </c>
      <c r="C44" s="5" t="s">
        <v>183</v>
      </c>
      <c r="D44" s="4" t="n">
        <v>2</v>
      </c>
      <c r="E44" s="6" t="s">
        <v>189</v>
      </c>
      <c r="F44" s="6" t="s">
        <v>190</v>
      </c>
      <c r="G44" s="6" t="s">
        <v>191</v>
      </c>
      <c r="H44" s="7" t="n">
        <v>48.8606</v>
      </c>
      <c r="I44" s="7" t="n">
        <v>2.3376</v>
      </c>
      <c r="J44" s="6" t="s">
        <v>192</v>
      </c>
      <c r="K44" s="6" t="s">
        <v>193</v>
      </c>
      <c r="L44" s="6"/>
    </row>
    <row r="45" customFormat="false" ht="23.85" hidden="false" customHeight="false" outlineLevel="0" collapsed="false">
      <c r="A45" s="4" t="n">
        <v>41</v>
      </c>
      <c r="B45" s="4" t="s">
        <v>14</v>
      </c>
      <c r="C45" s="5" t="s">
        <v>183</v>
      </c>
      <c r="D45" s="4" t="n">
        <v>3</v>
      </c>
      <c r="E45" s="6" t="s">
        <v>194</v>
      </c>
      <c r="F45" s="6" t="s">
        <v>195</v>
      </c>
      <c r="G45" s="6" t="s">
        <v>196</v>
      </c>
      <c r="H45" s="7" t="n">
        <v>48.8634</v>
      </c>
      <c r="I45" s="7" t="n">
        <v>2.3275</v>
      </c>
      <c r="J45" s="6" t="s">
        <v>192</v>
      </c>
      <c r="K45" s="6" t="s">
        <v>197</v>
      </c>
      <c r="L45" s="6"/>
    </row>
    <row r="46" customFormat="false" ht="23.85" hidden="false" customHeight="false" outlineLevel="0" collapsed="false">
      <c r="A46" s="4" t="n">
        <v>42</v>
      </c>
      <c r="B46" s="4" t="s">
        <v>14</v>
      </c>
      <c r="C46" s="5" t="s">
        <v>198</v>
      </c>
      <c r="D46" s="4" t="n">
        <v>1</v>
      </c>
      <c r="E46" s="6" t="s">
        <v>199</v>
      </c>
      <c r="F46" s="6" t="s">
        <v>200</v>
      </c>
      <c r="G46" s="6" t="s">
        <v>201</v>
      </c>
      <c r="H46" s="7" t="n">
        <v>48.8559</v>
      </c>
      <c r="I46" s="7" t="n">
        <v>2.3125</v>
      </c>
      <c r="J46" s="6" t="s">
        <v>202</v>
      </c>
      <c r="K46" s="6" t="s">
        <v>203</v>
      </c>
      <c r="L46" s="6"/>
    </row>
    <row r="47" customFormat="false" ht="23.85" hidden="false" customHeight="false" outlineLevel="0" collapsed="false">
      <c r="A47" s="4" t="n">
        <v>43</v>
      </c>
      <c r="B47" s="4" t="s">
        <v>14</v>
      </c>
      <c r="C47" s="5" t="s">
        <v>198</v>
      </c>
      <c r="D47" s="4" t="n">
        <v>2</v>
      </c>
      <c r="E47" s="6" t="s">
        <v>204</v>
      </c>
      <c r="F47" s="6" t="s">
        <v>205</v>
      </c>
      <c r="G47" s="6" t="s">
        <v>130</v>
      </c>
      <c r="H47" s="7" t="n">
        <v>48.8554</v>
      </c>
      <c r="I47" s="7" t="n">
        <v>2.345</v>
      </c>
      <c r="J47" s="6" t="s">
        <v>206</v>
      </c>
      <c r="K47" s="6" t="s">
        <v>207</v>
      </c>
      <c r="L47" s="6"/>
    </row>
    <row r="48" customFormat="false" ht="23.85" hidden="false" customHeight="false" outlineLevel="0" collapsed="false">
      <c r="A48" s="4" t="n">
        <v>44</v>
      </c>
      <c r="B48" s="4" t="s">
        <v>14</v>
      </c>
      <c r="C48" s="5" t="s">
        <v>208</v>
      </c>
      <c r="D48" s="4" t="n">
        <v>1</v>
      </c>
      <c r="E48" s="6" t="s">
        <v>209</v>
      </c>
      <c r="F48" s="6" t="s">
        <v>210</v>
      </c>
      <c r="G48" s="6" t="s">
        <v>211</v>
      </c>
      <c r="H48" s="7" t="n">
        <v>48.8867</v>
      </c>
      <c r="I48" s="7" t="n">
        <v>2.3431</v>
      </c>
      <c r="J48" s="6" t="s">
        <v>212</v>
      </c>
      <c r="K48" s="6" t="s">
        <v>213</v>
      </c>
      <c r="L48" s="6" t="s">
        <v>214</v>
      </c>
    </row>
    <row r="49" customFormat="false" ht="23.85" hidden="false" customHeight="false" outlineLevel="0" collapsed="false">
      <c r="A49" s="4" t="n">
        <v>45</v>
      </c>
      <c r="B49" s="4" t="s">
        <v>14</v>
      </c>
      <c r="C49" s="5" t="s">
        <v>215</v>
      </c>
      <c r="D49" s="4" t="n">
        <v>1</v>
      </c>
      <c r="E49" s="6" t="s">
        <v>216</v>
      </c>
      <c r="F49" s="6" t="s">
        <v>217</v>
      </c>
      <c r="G49" s="6" t="s">
        <v>218</v>
      </c>
      <c r="H49" s="7" t="n">
        <v>48.8636</v>
      </c>
      <c r="I49" s="7" t="n">
        <v>2.337</v>
      </c>
      <c r="J49" s="6" t="s">
        <v>219</v>
      </c>
      <c r="K49" s="6" t="s">
        <v>220</v>
      </c>
      <c r="L49" s="6"/>
    </row>
    <row r="50" customFormat="false" ht="23.85" hidden="false" customHeight="false" outlineLevel="0" collapsed="false">
      <c r="A50" s="4" t="n">
        <v>46</v>
      </c>
      <c r="B50" s="4" t="s">
        <v>14</v>
      </c>
      <c r="C50" s="5" t="s">
        <v>215</v>
      </c>
      <c r="D50" s="4" t="n">
        <v>2</v>
      </c>
      <c r="E50" s="6" t="s">
        <v>221</v>
      </c>
      <c r="F50" s="6" t="s">
        <v>17</v>
      </c>
      <c r="G50" s="6" t="s">
        <v>222</v>
      </c>
      <c r="H50" s="7" t="n">
        <v>48.8704</v>
      </c>
      <c r="I50" s="7" t="n">
        <v>2.3166</v>
      </c>
      <c r="J50" s="6" t="s">
        <v>223</v>
      </c>
      <c r="K50" s="6" t="s">
        <v>224</v>
      </c>
      <c r="L50" s="6"/>
    </row>
    <row r="51" customFormat="false" ht="23.85" hidden="false" customHeight="false" outlineLevel="0" collapsed="false">
      <c r="A51" s="4" t="n">
        <v>47</v>
      </c>
      <c r="B51" s="4" t="s">
        <v>14</v>
      </c>
      <c r="C51" s="5" t="s">
        <v>215</v>
      </c>
      <c r="D51" s="4" t="n">
        <v>3</v>
      </c>
      <c r="E51" s="6" t="s">
        <v>225</v>
      </c>
      <c r="F51" s="6" t="s">
        <v>226</v>
      </c>
      <c r="G51" s="6" t="s">
        <v>227</v>
      </c>
      <c r="H51" s="7" t="n">
        <v>48.8565</v>
      </c>
      <c r="I51" s="7" t="n">
        <v>2.3512</v>
      </c>
      <c r="J51" s="6" t="s">
        <v>228</v>
      </c>
      <c r="K51" s="6" t="s">
        <v>229</v>
      </c>
      <c r="L51" s="6"/>
    </row>
    <row r="52" customFormat="false" ht="15" hidden="false" customHeight="false" outlineLevel="0" collapsed="false">
      <c r="A52" s="4" t="n">
        <v>48</v>
      </c>
      <c r="B52" s="4" t="s">
        <v>14</v>
      </c>
      <c r="C52" s="5" t="s">
        <v>230</v>
      </c>
      <c r="D52" s="4" t="n">
        <v>1</v>
      </c>
      <c r="E52" s="6" t="s">
        <v>231</v>
      </c>
      <c r="F52" s="6" t="s">
        <v>17</v>
      </c>
      <c r="G52" s="6" t="s">
        <v>232</v>
      </c>
      <c r="H52" s="7" t="n">
        <v>48.8924</v>
      </c>
      <c r="I52" s="7" t="n">
        <v>2.2389</v>
      </c>
      <c r="J52" s="6" t="s">
        <v>233</v>
      </c>
      <c r="K52" s="6" t="s">
        <v>234</v>
      </c>
      <c r="L52" s="6"/>
    </row>
    <row r="53" customFormat="false" ht="15" hidden="false" customHeight="false" outlineLevel="0" collapsed="false">
      <c r="A53" s="4" t="n">
        <v>49</v>
      </c>
      <c r="B53" s="4" t="s">
        <v>14</v>
      </c>
      <c r="C53" s="5" t="s">
        <v>230</v>
      </c>
      <c r="D53" s="4" t="n">
        <v>2</v>
      </c>
      <c r="E53" s="6" t="s">
        <v>235</v>
      </c>
      <c r="F53" s="6" t="s">
        <v>17</v>
      </c>
      <c r="G53" s="6" t="s">
        <v>236</v>
      </c>
      <c r="H53" s="7" t="n">
        <v>48.8917</v>
      </c>
      <c r="I53" s="7" t="n">
        <v>2.236</v>
      </c>
      <c r="J53" s="6" t="s">
        <v>237</v>
      </c>
      <c r="K53" s="6" t="s">
        <v>238</v>
      </c>
      <c r="L53" s="6"/>
    </row>
    <row r="54" customFormat="false" ht="23.85" hidden="false" customHeight="false" outlineLevel="0" collapsed="false">
      <c r="A54" s="8" t="n">
        <v>50</v>
      </c>
      <c r="B54" s="8" t="s">
        <v>239</v>
      </c>
      <c r="C54" s="9" t="s">
        <v>240</v>
      </c>
      <c r="D54" s="8" t="n">
        <v>1</v>
      </c>
      <c r="E54" s="10" t="s">
        <v>241</v>
      </c>
      <c r="F54" s="10" t="s">
        <v>242</v>
      </c>
      <c r="G54" s="10" t="s">
        <v>243</v>
      </c>
      <c r="H54" s="11" t="n">
        <v>43.2965</v>
      </c>
      <c r="I54" s="11" t="n">
        <v>5.3698</v>
      </c>
      <c r="J54" s="10" t="s">
        <v>244</v>
      </c>
      <c r="K54" s="10" t="s">
        <v>245</v>
      </c>
      <c r="L54" s="10"/>
    </row>
    <row r="55" customFormat="false" ht="23.85" hidden="false" customHeight="false" outlineLevel="0" collapsed="false">
      <c r="A55" s="8" t="n">
        <v>51</v>
      </c>
      <c r="B55" s="8" t="s">
        <v>239</v>
      </c>
      <c r="C55" s="9" t="s">
        <v>240</v>
      </c>
      <c r="D55" s="8" t="n">
        <v>2</v>
      </c>
      <c r="E55" s="10" t="s">
        <v>246</v>
      </c>
      <c r="F55" s="10" t="s">
        <v>17</v>
      </c>
      <c r="G55" s="10" t="s">
        <v>247</v>
      </c>
      <c r="H55" s="11" t="n">
        <v>49.4431</v>
      </c>
      <c r="I55" s="11" t="n">
        <v>1.0993</v>
      </c>
      <c r="J55" s="10" t="s">
        <v>248</v>
      </c>
      <c r="K55" s="10" t="s">
        <v>249</v>
      </c>
      <c r="L55" s="10" t="s">
        <v>250</v>
      </c>
    </row>
    <row r="56" customFormat="false" ht="23.85" hidden="false" customHeight="false" outlineLevel="0" collapsed="false">
      <c r="A56" s="8" t="n">
        <v>52</v>
      </c>
      <c r="B56" s="8" t="s">
        <v>239</v>
      </c>
      <c r="C56" s="9" t="s">
        <v>240</v>
      </c>
      <c r="D56" s="8" t="n">
        <v>3</v>
      </c>
      <c r="E56" s="10" t="s">
        <v>251</v>
      </c>
      <c r="F56" s="10" t="s">
        <v>252</v>
      </c>
      <c r="G56" s="10" t="s">
        <v>253</v>
      </c>
      <c r="H56" s="11" t="n">
        <v>47.8989</v>
      </c>
      <c r="I56" s="11" t="n">
        <v>4.5392</v>
      </c>
      <c r="J56" s="10" t="s">
        <v>254</v>
      </c>
      <c r="K56" s="10" t="s">
        <v>255</v>
      </c>
      <c r="L56" s="10"/>
    </row>
    <row r="57" customFormat="false" ht="23.85" hidden="false" customHeight="false" outlineLevel="0" collapsed="false">
      <c r="A57" s="8" t="n">
        <v>53</v>
      </c>
      <c r="B57" s="8" t="s">
        <v>239</v>
      </c>
      <c r="C57" s="9" t="s">
        <v>256</v>
      </c>
      <c r="D57" s="8" t="n">
        <v>1</v>
      </c>
      <c r="E57" s="10" t="s">
        <v>257</v>
      </c>
      <c r="F57" s="10" t="s">
        <v>258</v>
      </c>
      <c r="G57" s="10" t="s">
        <v>259</v>
      </c>
      <c r="H57" s="11" t="n">
        <v>46.9239</v>
      </c>
      <c r="I57" s="11" t="n">
        <v>4.0392</v>
      </c>
      <c r="J57" s="10" t="s">
        <v>260</v>
      </c>
      <c r="K57" s="10" t="s">
        <v>261</v>
      </c>
      <c r="L57" s="10"/>
    </row>
    <row r="58" customFormat="false" ht="15" hidden="false" customHeight="false" outlineLevel="0" collapsed="false">
      <c r="A58" s="8" t="n">
        <v>54</v>
      </c>
      <c r="B58" s="8" t="s">
        <v>239</v>
      </c>
      <c r="C58" s="9" t="s">
        <v>256</v>
      </c>
      <c r="D58" s="8" t="n">
        <v>2</v>
      </c>
      <c r="E58" s="10" t="s">
        <v>262</v>
      </c>
      <c r="F58" s="10" t="s">
        <v>17</v>
      </c>
      <c r="G58" s="10" t="s">
        <v>263</v>
      </c>
      <c r="H58" s="11" t="n">
        <v>46.9417</v>
      </c>
      <c r="I58" s="11" t="n">
        <v>5.8783</v>
      </c>
      <c r="J58" s="10" t="s">
        <v>264</v>
      </c>
      <c r="K58" s="10" t="s">
        <v>265</v>
      </c>
      <c r="L58" s="10"/>
    </row>
    <row r="59" customFormat="false" ht="23.85" hidden="false" customHeight="false" outlineLevel="0" collapsed="false">
      <c r="A59" s="8" t="n">
        <v>55</v>
      </c>
      <c r="B59" s="8" t="s">
        <v>239</v>
      </c>
      <c r="C59" s="9" t="s">
        <v>266</v>
      </c>
      <c r="D59" s="8" t="n">
        <v>1</v>
      </c>
      <c r="E59" s="10" t="s">
        <v>267</v>
      </c>
      <c r="F59" s="10" t="s">
        <v>268</v>
      </c>
      <c r="G59" s="10" t="s">
        <v>269</v>
      </c>
      <c r="H59" s="11" t="n">
        <v>45.7186</v>
      </c>
      <c r="I59" s="11" t="n">
        <v>3.1239</v>
      </c>
      <c r="J59" s="10" t="s">
        <v>270</v>
      </c>
      <c r="K59" s="10" t="s">
        <v>271</v>
      </c>
      <c r="L59" s="10"/>
    </row>
    <row r="60" customFormat="false" ht="23.85" hidden="false" customHeight="false" outlineLevel="0" collapsed="false">
      <c r="A60" s="8" t="n">
        <v>56</v>
      </c>
      <c r="B60" s="8" t="s">
        <v>239</v>
      </c>
      <c r="C60" s="9" t="s">
        <v>266</v>
      </c>
      <c r="D60" s="8" t="n">
        <v>2</v>
      </c>
      <c r="E60" s="10" t="s">
        <v>272</v>
      </c>
      <c r="F60" s="10" t="s">
        <v>268</v>
      </c>
      <c r="G60" s="10" t="s">
        <v>273</v>
      </c>
      <c r="H60" s="11" t="n">
        <v>47.5375</v>
      </c>
      <c r="I60" s="11" t="n">
        <v>4.5006</v>
      </c>
      <c r="J60" s="10" t="s">
        <v>270</v>
      </c>
      <c r="K60" s="10" t="s">
        <v>274</v>
      </c>
      <c r="L60" s="10"/>
    </row>
    <row r="61" customFormat="false" ht="15" hidden="false" customHeight="false" outlineLevel="0" collapsed="false">
      <c r="A61" s="8" t="n">
        <v>57</v>
      </c>
      <c r="B61" s="8" t="s">
        <v>239</v>
      </c>
      <c r="C61" s="9" t="s">
        <v>275</v>
      </c>
      <c r="D61" s="8" t="n">
        <v>1</v>
      </c>
      <c r="E61" s="10" t="s">
        <v>276</v>
      </c>
      <c r="F61" s="10" t="s">
        <v>17</v>
      </c>
      <c r="G61" s="10" t="s">
        <v>277</v>
      </c>
      <c r="H61" s="11" t="n">
        <v>45.7622</v>
      </c>
      <c r="I61" s="11" t="n">
        <v>4.8225</v>
      </c>
      <c r="J61" s="10" t="s">
        <v>19</v>
      </c>
      <c r="K61" s="10" t="s">
        <v>278</v>
      </c>
      <c r="L61" s="10"/>
    </row>
    <row r="62" customFormat="false" ht="23.85" hidden="false" customHeight="false" outlineLevel="0" collapsed="false">
      <c r="A62" s="8" t="n">
        <v>58</v>
      </c>
      <c r="B62" s="8" t="s">
        <v>239</v>
      </c>
      <c r="C62" s="9" t="s">
        <v>275</v>
      </c>
      <c r="D62" s="8" t="n">
        <v>2</v>
      </c>
      <c r="E62" s="10" t="s">
        <v>279</v>
      </c>
      <c r="F62" s="10" t="s">
        <v>17</v>
      </c>
      <c r="G62" s="10" t="s">
        <v>280</v>
      </c>
      <c r="H62" s="11" t="n">
        <v>43.9475</v>
      </c>
      <c r="I62" s="11" t="n">
        <v>4.535</v>
      </c>
      <c r="J62" s="10" t="s">
        <v>19</v>
      </c>
      <c r="K62" s="10" t="s">
        <v>281</v>
      </c>
      <c r="L62" s="10"/>
    </row>
    <row r="63" customFormat="false" ht="15" hidden="false" customHeight="false" outlineLevel="0" collapsed="false">
      <c r="A63" s="8" t="n">
        <v>59</v>
      </c>
      <c r="B63" s="8" t="s">
        <v>239</v>
      </c>
      <c r="C63" s="9" t="s">
        <v>275</v>
      </c>
      <c r="D63" s="8" t="n">
        <v>3</v>
      </c>
      <c r="E63" s="10" t="s">
        <v>282</v>
      </c>
      <c r="F63" s="10" t="s">
        <v>17</v>
      </c>
      <c r="G63" s="10" t="s">
        <v>283</v>
      </c>
      <c r="H63" s="11" t="n">
        <v>43.8345</v>
      </c>
      <c r="I63" s="11" t="n">
        <v>4.3601</v>
      </c>
      <c r="J63" s="10" t="s">
        <v>27</v>
      </c>
      <c r="K63" s="10" t="s">
        <v>284</v>
      </c>
      <c r="L63" s="10"/>
    </row>
    <row r="64" customFormat="false" ht="15" hidden="false" customHeight="false" outlineLevel="0" collapsed="false">
      <c r="A64" s="8" t="n">
        <v>60</v>
      </c>
      <c r="B64" s="8" t="s">
        <v>239</v>
      </c>
      <c r="C64" s="9" t="s">
        <v>275</v>
      </c>
      <c r="D64" s="8" t="n">
        <v>4</v>
      </c>
      <c r="E64" s="10" t="s">
        <v>285</v>
      </c>
      <c r="F64" s="10" t="s">
        <v>17</v>
      </c>
      <c r="G64" s="10" t="s">
        <v>286</v>
      </c>
      <c r="H64" s="11" t="n">
        <v>43.6786</v>
      </c>
      <c r="I64" s="11" t="n">
        <v>4.6311</v>
      </c>
      <c r="J64" s="10" t="s">
        <v>27</v>
      </c>
      <c r="K64" s="10" t="s">
        <v>287</v>
      </c>
      <c r="L64" s="10"/>
    </row>
    <row r="65" customFormat="false" ht="15" hidden="false" customHeight="false" outlineLevel="0" collapsed="false">
      <c r="A65" s="8" t="n">
        <v>61</v>
      </c>
      <c r="B65" s="8" t="s">
        <v>239</v>
      </c>
      <c r="C65" s="9" t="s">
        <v>275</v>
      </c>
      <c r="D65" s="8" t="n">
        <v>5</v>
      </c>
      <c r="E65" s="10" t="s">
        <v>288</v>
      </c>
      <c r="F65" s="10" t="s">
        <v>17</v>
      </c>
      <c r="G65" s="10" t="s">
        <v>289</v>
      </c>
      <c r="H65" s="11" t="n">
        <v>44.1359</v>
      </c>
      <c r="I65" s="11" t="n">
        <v>4.8089</v>
      </c>
      <c r="J65" s="10" t="s">
        <v>19</v>
      </c>
      <c r="K65" s="10" t="s">
        <v>290</v>
      </c>
      <c r="L65" s="10"/>
    </row>
    <row r="66" customFormat="false" ht="23.85" hidden="false" customHeight="false" outlineLevel="0" collapsed="false">
      <c r="A66" s="8" t="n">
        <v>62</v>
      </c>
      <c r="B66" s="8" t="s">
        <v>239</v>
      </c>
      <c r="C66" s="9" t="s">
        <v>291</v>
      </c>
      <c r="D66" s="8" t="n">
        <v>1</v>
      </c>
      <c r="E66" s="10" t="s">
        <v>292</v>
      </c>
      <c r="F66" s="10" t="s">
        <v>66</v>
      </c>
      <c r="G66" s="10" t="s">
        <v>293</v>
      </c>
      <c r="H66" s="11" t="n">
        <v>47.3936</v>
      </c>
      <c r="I66" s="11" t="n">
        <v>0.6848</v>
      </c>
      <c r="J66" s="10" t="s">
        <v>294</v>
      </c>
      <c r="K66" s="10" t="s">
        <v>295</v>
      </c>
      <c r="L66" s="10" t="s">
        <v>296</v>
      </c>
    </row>
    <row r="67" customFormat="false" ht="23.85" hidden="false" customHeight="false" outlineLevel="0" collapsed="false">
      <c r="A67" s="8" t="n">
        <v>63</v>
      </c>
      <c r="B67" s="8" t="s">
        <v>239</v>
      </c>
      <c r="C67" s="9" t="s">
        <v>291</v>
      </c>
      <c r="D67" s="8" t="n">
        <v>2</v>
      </c>
      <c r="E67" s="10" t="s">
        <v>297</v>
      </c>
      <c r="F67" s="10" t="s">
        <v>298</v>
      </c>
      <c r="G67" s="10" t="s">
        <v>299</v>
      </c>
      <c r="H67" s="11" t="n">
        <v>49.2537</v>
      </c>
      <c r="I67" s="11" t="n">
        <v>4.0335</v>
      </c>
      <c r="J67" s="10" t="s">
        <v>300</v>
      </c>
      <c r="K67" s="10" t="s">
        <v>301</v>
      </c>
      <c r="L67" s="10" t="s">
        <v>302</v>
      </c>
    </row>
    <row r="68" customFormat="false" ht="23.85" hidden="false" customHeight="false" outlineLevel="0" collapsed="false">
      <c r="A68" s="8" t="n">
        <v>64</v>
      </c>
      <c r="B68" s="8" t="s">
        <v>239</v>
      </c>
      <c r="C68" s="9" t="s">
        <v>303</v>
      </c>
      <c r="D68" s="8" t="n">
        <v>1</v>
      </c>
      <c r="E68" s="10" t="s">
        <v>304</v>
      </c>
      <c r="F68" s="10" t="s">
        <v>305</v>
      </c>
      <c r="G68" s="10" t="s">
        <v>306</v>
      </c>
      <c r="H68" s="11" t="n">
        <v>46.5802</v>
      </c>
      <c r="I68" s="11" t="n">
        <v>0.3404</v>
      </c>
      <c r="J68" s="10" t="s">
        <v>307</v>
      </c>
      <c r="K68" s="10" t="s">
        <v>308</v>
      </c>
      <c r="L68" s="10"/>
    </row>
    <row r="69" customFormat="false" ht="15" hidden="false" customHeight="false" outlineLevel="0" collapsed="false">
      <c r="A69" s="8" t="n">
        <v>65</v>
      </c>
      <c r="B69" s="8" t="s">
        <v>239</v>
      </c>
      <c r="C69" s="9" t="s">
        <v>303</v>
      </c>
      <c r="D69" s="8" t="n">
        <v>2</v>
      </c>
      <c r="E69" s="10" t="s">
        <v>309</v>
      </c>
      <c r="F69" s="10" t="s">
        <v>310</v>
      </c>
      <c r="G69" s="10" t="s">
        <v>311</v>
      </c>
      <c r="H69" s="11" t="n">
        <v>43.0093</v>
      </c>
      <c r="I69" s="11" t="n">
        <v>-1.3197</v>
      </c>
      <c r="J69" s="10" t="s">
        <v>312</v>
      </c>
      <c r="K69" s="10" t="s">
        <v>313</v>
      </c>
      <c r="L69" s="10" t="s">
        <v>314</v>
      </c>
    </row>
    <row r="70" customFormat="false" ht="23.85" hidden="false" customHeight="false" outlineLevel="0" collapsed="false">
      <c r="A70" s="8" t="n">
        <v>66</v>
      </c>
      <c r="B70" s="8" t="s">
        <v>239</v>
      </c>
      <c r="C70" s="9" t="s">
        <v>315</v>
      </c>
      <c r="D70" s="8" t="n">
        <v>1</v>
      </c>
      <c r="E70" s="10" t="s">
        <v>316</v>
      </c>
      <c r="F70" s="10" t="s">
        <v>317</v>
      </c>
      <c r="G70" s="10" t="s">
        <v>318</v>
      </c>
      <c r="H70" s="11" t="n">
        <v>49.4339</v>
      </c>
      <c r="I70" s="11" t="n">
        <v>0.8186</v>
      </c>
      <c r="J70" s="10" t="s">
        <v>117</v>
      </c>
      <c r="K70" s="10" t="s">
        <v>319</v>
      </c>
      <c r="L70" s="10"/>
    </row>
    <row r="71" customFormat="false" ht="23.85" hidden="false" customHeight="false" outlineLevel="0" collapsed="false">
      <c r="A71" s="8" t="n">
        <v>67</v>
      </c>
      <c r="B71" s="8" t="s">
        <v>239</v>
      </c>
      <c r="C71" s="9" t="s">
        <v>315</v>
      </c>
      <c r="D71" s="8" t="n">
        <v>2</v>
      </c>
      <c r="E71" s="10" t="s">
        <v>320</v>
      </c>
      <c r="F71" s="10" t="s">
        <v>321</v>
      </c>
      <c r="G71" s="10" t="s">
        <v>322</v>
      </c>
      <c r="H71" s="11" t="n">
        <v>49.1331</v>
      </c>
      <c r="I71" s="11" t="n">
        <v>1.6939</v>
      </c>
      <c r="J71" s="10" t="s">
        <v>323</v>
      </c>
      <c r="K71" s="10" t="s">
        <v>324</v>
      </c>
      <c r="L71" s="10"/>
    </row>
    <row r="72" customFormat="false" ht="23.85" hidden="false" customHeight="false" outlineLevel="0" collapsed="false">
      <c r="A72" s="8" t="n">
        <v>68</v>
      </c>
      <c r="B72" s="8" t="s">
        <v>239</v>
      </c>
      <c r="C72" s="9" t="s">
        <v>325</v>
      </c>
      <c r="D72" s="8" t="n">
        <v>1</v>
      </c>
      <c r="E72" s="10" t="s">
        <v>326</v>
      </c>
      <c r="F72" s="10" t="s">
        <v>327</v>
      </c>
      <c r="G72" s="10" t="s">
        <v>328</v>
      </c>
      <c r="H72" s="11" t="n">
        <v>45.0429</v>
      </c>
      <c r="I72" s="11" t="n">
        <v>3.8853</v>
      </c>
      <c r="J72" s="10" t="s">
        <v>329</v>
      </c>
      <c r="K72" s="10" t="s">
        <v>330</v>
      </c>
      <c r="L72" s="10"/>
    </row>
    <row r="73" customFormat="false" ht="23.85" hidden="false" customHeight="false" outlineLevel="0" collapsed="false">
      <c r="A73" s="8" t="n">
        <v>69</v>
      </c>
      <c r="B73" s="8" t="s">
        <v>239</v>
      </c>
      <c r="C73" s="9" t="s">
        <v>325</v>
      </c>
      <c r="D73" s="8" t="n">
        <v>2</v>
      </c>
      <c r="E73" s="10" t="s">
        <v>331</v>
      </c>
      <c r="F73" s="10" t="s">
        <v>332</v>
      </c>
      <c r="G73" s="10" t="s">
        <v>333</v>
      </c>
      <c r="H73" s="11" t="n">
        <v>46.4344</v>
      </c>
      <c r="I73" s="11" t="n">
        <v>4.6592</v>
      </c>
      <c r="J73" s="10" t="s">
        <v>334</v>
      </c>
      <c r="K73" s="10" t="s">
        <v>335</v>
      </c>
      <c r="L73" s="10"/>
    </row>
    <row r="74" customFormat="false" ht="15" hidden="false" customHeight="false" outlineLevel="0" collapsed="false">
      <c r="A74" s="8" t="n">
        <v>70</v>
      </c>
      <c r="B74" s="8" t="s">
        <v>239</v>
      </c>
      <c r="C74" s="9" t="s">
        <v>325</v>
      </c>
      <c r="D74" s="8" t="n">
        <v>3</v>
      </c>
      <c r="E74" s="10" t="s">
        <v>336</v>
      </c>
      <c r="F74" s="10" t="s">
        <v>17</v>
      </c>
      <c r="G74" s="10" t="s">
        <v>337</v>
      </c>
      <c r="H74" s="11" t="n">
        <v>44.6014</v>
      </c>
      <c r="I74" s="11" t="n">
        <v>2.3978</v>
      </c>
      <c r="J74" s="10" t="s">
        <v>136</v>
      </c>
      <c r="K74" s="10" t="s">
        <v>338</v>
      </c>
      <c r="L74" s="10"/>
    </row>
    <row r="75" customFormat="false" ht="23.85" hidden="false" customHeight="false" outlineLevel="0" collapsed="false">
      <c r="A75" s="8" t="n">
        <v>71</v>
      </c>
      <c r="B75" s="8" t="s">
        <v>239</v>
      </c>
      <c r="C75" s="9" t="s">
        <v>325</v>
      </c>
      <c r="D75" s="8" t="n">
        <v>4</v>
      </c>
      <c r="E75" s="10" t="s">
        <v>339</v>
      </c>
      <c r="F75" s="10" t="s">
        <v>17</v>
      </c>
      <c r="G75" s="10" t="s">
        <v>340</v>
      </c>
      <c r="H75" s="11" t="n">
        <v>48.6361</v>
      </c>
      <c r="I75" s="11" t="n">
        <v>-1.5115</v>
      </c>
      <c r="J75" s="10" t="s">
        <v>341</v>
      </c>
      <c r="K75" s="10" t="s">
        <v>342</v>
      </c>
      <c r="L75" s="10"/>
    </row>
    <row r="76" customFormat="false" ht="23.85" hidden="false" customHeight="false" outlineLevel="0" collapsed="false">
      <c r="A76" s="8" t="n">
        <v>72</v>
      </c>
      <c r="B76" s="8" t="s">
        <v>239</v>
      </c>
      <c r="C76" s="9" t="s">
        <v>325</v>
      </c>
      <c r="D76" s="8" t="n">
        <v>5</v>
      </c>
      <c r="E76" s="10" t="s">
        <v>343</v>
      </c>
      <c r="F76" s="10" t="s">
        <v>344</v>
      </c>
      <c r="G76" s="10" t="s">
        <v>345</v>
      </c>
      <c r="H76" s="11" t="n">
        <v>47.4663</v>
      </c>
      <c r="I76" s="11" t="n">
        <v>3.748</v>
      </c>
      <c r="J76" s="10" t="s">
        <v>146</v>
      </c>
      <c r="K76" s="10" t="s">
        <v>346</v>
      </c>
      <c r="L76" s="10"/>
    </row>
    <row r="77" customFormat="false" ht="23.85" hidden="false" customHeight="false" outlineLevel="0" collapsed="false">
      <c r="A77" s="8" t="n">
        <v>73</v>
      </c>
      <c r="B77" s="8" t="s">
        <v>239</v>
      </c>
      <c r="C77" s="9" t="s">
        <v>347</v>
      </c>
      <c r="D77" s="8" t="n">
        <v>1</v>
      </c>
      <c r="E77" s="10" t="s">
        <v>348</v>
      </c>
      <c r="F77" s="10" t="s">
        <v>349</v>
      </c>
      <c r="G77" s="10" t="s">
        <v>350</v>
      </c>
      <c r="H77" s="11" t="n">
        <v>50.5717</v>
      </c>
      <c r="I77" s="11" t="n">
        <v>3.1908</v>
      </c>
      <c r="J77" s="10" t="s">
        <v>351</v>
      </c>
      <c r="K77" s="10" t="s">
        <v>352</v>
      </c>
      <c r="L77" s="10"/>
    </row>
    <row r="78" customFormat="false" ht="23.85" hidden="false" customHeight="false" outlineLevel="0" collapsed="false">
      <c r="A78" s="8" t="n">
        <v>74</v>
      </c>
      <c r="B78" s="8" t="s">
        <v>239</v>
      </c>
      <c r="C78" s="9" t="s">
        <v>347</v>
      </c>
      <c r="D78" s="8" t="n">
        <v>2</v>
      </c>
      <c r="E78" s="10" t="s">
        <v>353</v>
      </c>
      <c r="F78" s="10" t="s">
        <v>354</v>
      </c>
      <c r="G78" s="10" t="s">
        <v>355</v>
      </c>
      <c r="H78" s="11" t="n">
        <v>42.8758</v>
      </c>
      <c r="I78" s="11" t="n">
        <v>1.8328</v>
      </c>
      <c r="J78" s="10" t="s">
        <v>356</v>
      </c>
      <c r="K78" s="10" t="s">
        <v>357</v>
      </c>
      <c r="L78" s="10"/>
    </row>
    <row r="79" customFormat="false" ht="23.85" hidden="false" customHeight="false" outlineLevel="0" collapsed="false">
      <c r="A79" s="8" t="n">
        <v>75</v>
      </c>
      <c r="B79" s="8" t="s">
        <v>239</v>
      </c>
      <c r="C79" s="9" t="s">
        <v>347</v>
      </c>
      <c r="D79" s="8" t="n">
        <v>3</v>
      </c>
      <c r="E79" s="10" t="s">
        <v>358</v>
      </c>
      <c r="F79" s="10" t="s">
        <v>17</v>
      </c>
      <c r="G79" s="10" t="s">
        <v>359</v>
      </c>
      <c r="H79" s="11" t="n">
        <v>43.2061</v>
      </c>
      <c r="I79" s="11" t="n">
        <v>2.364</v>
      </c>
      <c r="J79" s="10" t="s">
        <v>151</v>
      </c>
      <c r="K79" s="10" t="s">
        <v>360</v>
      </c>
      <c r="L79" s="10"/>
    </row>
    <row r="80" customFormat="false" ht="23.85" hidden="false" customHeight="false" outlineLevel="0" collapsed="false">
      <c r="A80" s="8" t="n">
        <v>76</v>
      </c>
      <c r="B80" s="8" t="s">
        <v>239</v>
      </c>
      <c r="C80" s="9" t="s">
        <v>347</v>
      </c>
      <c r="D80" s="8" t="n">
        <v>4</v>
      </c>
      <c r="E80" s="10" t="s">
        <v>361</v>
      </c>
      <c r="F80" s="10" t="s">
        <v>17</v>
      </c>
      <c r="G80" s="10" t="s">
        <v>362</v>
      </c>
      <c r="H80" s="11" t="n">
        <v>48.4477</v>
      </c>
      <c r="I80" s="11" t="n">
        <v>1.4878</v>
      </c>
      <c r="J80" s="10" t="s">
        <v>363</v>
      </c>
      <c r="K80" s="10" t="s">
        <v>364</v>
      </c>
      <c r="L80" s="10"/>
    </row>
    <row r="81" customFormat="false" ht="23.85" hidden="false" customHeight="false" outlineLevel="0" collapsed="false">
      <c r="A81" s="8" t="n">
        <v>77</v>
      </c>
      <c r="B81" s="8" t="s">
        <v>239</v>
      </c>
      <c r="C81" s="9" t="s">
        <v>365</v>
      </c>
      <c r="D81" s="8" t="n">
        <v>1</v>
      </c>
      <c r="E81" s="10" t="s">
        <v>366</v>
      </c>
      <c r="F81" s="10" t="s">
        <v>367</v>
      </c>
      <c r="G81" s="10" t="s">
        <v>368</v>
      </c>
      <c r="H81" s="11" t="n">
        <v>50.2486</v>
      </c>
      <c r="I81" s="11" t="n">
        <v>1.8836</v>
      </c>
      <c r="J81" s="10" t="s">
        <v>369</v>
      </c>
      <c r="K81" s="10" t="s">
        <v>370</v>
      </c>
      <c r="L81" s="10"/>
    </row>
    <row r="82" customFormat="false" ht="23.85" hidden="false" customHeight="false" outlineLevel="0" collapsed="false">
      <c r="A82" s="8" t="n">
        <v>78</v>
      </c>
      <c r="B82" s="8" t="s">
        <v>239</v>
      </c>
      <c r="C82" s="9" t="s">
        <v>365</v>
      </c>
      <c r="D82" s="8" t="n">
        <v>2</v>
      </c>
      <c r="E82" s="10" t="s">
        <v>371</v>
      </c>
      <c r="F82" s="10" t="s">
        <v>372</v>
      </c>
      <c r="G82" s="10" t="s">
        <v>373</v>
      </c>
      <c r="H82" s="11" t="n">
        <v>50.9513</v>
      </c>
      <c r="I82" s="11" t="n">
        <v>1.8587</v>
      </c>
      <c r="J82" s="10" t="s">
        <v>374</v>
      </c>
      <c r="K82" s="10" t="s">
        <v>375</v>
      </c>
      <c r="L82" s="10"/>
    </row>
    <row r="83" customFormat="false" ht="23.85" hidden="false" customHeight="false" outlineLevel="0" collapsed="false">
      <c r="A83" s="8" t="n">
        <v>79</v>
      </c>
      <c r="B83" s="8" t="s">
        <v>239</v>
      </c>
      <c r="C83" s="9" t="s">
        <v>365</v>
      </c>
      <c r="D83" s="8" t="n">
        <v>3</v>
      </c>
      <c r="E83" s="10" t="s">
        <v>376</v>
      </c>
      <c r="F83" s="10" t="s">
        <v>377</v>
      </c>
      <c r="G83" s="10" t="s">
        <v>378</v>
      </c>
      <c r="H83" s="11" t="n">
        <v>50.4636</v>
      </c>
      <c r="I83" s="11" t="n">
        <v>2.1378</v>
      </c>
      <c r="J83" s="10" t="s">
        <v>379</v>
      </c>
      <c r="K83" s="10" t="s">
        <v>380</v>
      </c>
      <c r="L83" s="10"/>
    </row>
    <row r="84" customFormat="false" ht="23.85" hidden="false" customHeight="false" outlineLevel="0" collapsed="false">
      <c r="A84" s="8" t="n">
        <v>80</v>
      </c>
      <c r="B84" s="8" t="s">
        <v>239</v>
      </c>
      <c r="C84" s="9" t="s">
        <v>365</v>
      </c>
      <c r="D84" s="8" t="n">
        <v>4</v>
      </c>
      <c r="E84" s="10" t="s">
        <v>381</v>
      </c>
      <c r="F84" s="10" t="s">
        <v>175</v>
      </c>
      <c r="G84" s="10" t="s">
        <v>382</v>
      </c>
      <c r="H84" s="11" t="n">
        <v>48.4408</v>
      </c>
      <c r="I84" s="11" t="n">
        <v>5.6739</v>
      </c>
      <c r="J84" s="10" t="s">
        <v>383</v>
      </c>
      <c r="K84" s="10" t="s">
        <v>384</v>
      </c>
      <c r="L84" s="10"/>
    </row>
    <row r="85" customFormat="false" ht="23.85" hidden="false" customHeight="false" outlineLevel="0" collapsed="false">
      <c r="A85" s="8" t="n">
        <v>81</v>
      </c>
      <c r="B85" s="8" t="s">
        <v>239</v>
      </c>
      <c r="C85" s="9" t="s">
        <v>365</v>
      </c>
      <c r="D85" s="8" t="n">
        <v>5</v>
      </c>
      <c r="E85" s="10" t="s">
        <v>385</v>
      </c>
      <c r="F85" s="10" t="s">
        <v>175</v>
      </c>
      <c r="G85" s="10" t="s">
        <v>386</v>
      </c>
      <c r="H85" s="11" t="n">
        <v>47.9029</v>
      </c>
      <c r="I85" s="11" t="n">
        <v>1.9093</v>
      </c>
      <c r="J85" s="10" t="s">
        <v>177</v>
      </c>
      <c r="K85" s="10" t="s">
        <v>387</v>
      </c>
      <c r="L85" s="10"/>
    </row>
    <row r="86" customFormat="false" ht="23.85" hidden="false" customHeight="false" outlineLevel="0" collapsed="false">
      <c r="A86" s="8" t="n">
        <v>82</v>
      </c>
      <c r="B86" s="8" t="s">
        <v>239</v>
      </c>
      <c r="C86" s="9" t="s">
        <v>365</v>
      </c>
      <c r="D86" s="8" t="n">
        <v>6</v>
      </c>
      <c r="E86" s="10" t="s">
        <v>388</v>
      </c>
      <c r="F86" s="10" t="s">
        <v>389</v>
      </c>
      <c r="G86" s="10" t="s">
        <v>299</v>
      </c>
      <c r="H86" s="11" t="n">
        <v>49.2537</v>
      </c>
      <c r="I86" s="11" t="n">
        <v>4.0335</v>
      </c>
      <c r="J86" s="10" t="s">
        <v>177</v>
      </c>
      <c r="K86" s="10" t="s">
        <v>390</v>
      </c>
      <c r="L86" s="10"/>
    </row>
    <row r="87" customFormat="false" ht="23.85" hidden="false" customHeight="false" outlineLevel="0" collapsed="false">
      <c r="A87" s="8" t="n">
        <v>83</v>
      </c>
      <c r="B87" s="8" t="s">
        <v>239</v>
      </c>
      <c r="C87" s="9" t="s">
        <v>365</v>
      </c>
      <c r="D87" s="8" t="n">
        <v>7</v>
      </c>
      <c r="E87" s="10" t="s">
        <v>391</v>
      </c>
      <c r="F87" s="10" t="s">
        <v>175</v>
      </c>
      <c r="G87" s="10" t="s">
        <v>392</v>
      </c>
      <c r="H87" s="11" t="n">
        <v>49.4404</v>
      </c>
      <c r="I87" s="11" t="n">
        <v>1.0931</v>
      </c>
      <c r="J87" s="10" t="s">
        <v>393</v>
      </c>
      <c r="K87" s="10" t="s">
        <v>394</v>
      </c>
      <c r="L87" s="10"/>
    </row>
    <row r="88" customFormat="false" ht="23.85" hidden="false" customHeight="false" outlineLevel="0" collapsed="false">
      <c r="A88" s="8" t="n">
        <v>84</v>
      </c>
      <c r="B88" s="8" t="s">
        <v>239</v>
      </c>
      <c r="C88" s="9" t="s">
        <v>395</v>
      </c>
      <c r="D88" s="8" t="n">
        <v>1</v>
      </c>
      <c r="E88" s="10" t="s">
        <v>396</v>
      </c>
      <c r="F88" s="10" t="s">
        <v>185</v>
      </c>
      <c r="G88" s="10" t="s">
        <v>397</v>
      </c>
      <c r="H88" s="11" t="n">
        <v>47.6161</v>
      </c>
      <c r="I88" s="11" t="n">
        <v>1.517</v>
      </c>
      <c r="J88" s="10" t="s">
        <v>398</v>
      </c>
      <c r="K88" s="10" t="s">
        <v>399</v>
      </c>
      <c r="L88" s="10"/>
    </row>
    <row r="89" customFormat="false" ht="23.85" hidden="false" customHeight="false" outlineLevel="0" collapsed="false">
      <c r="A89" s="8" t="n">
        <v>85</v>
      </c>
      <c r="B89" s="8" t="s">
        <v>239</v>
      </c>
      <c r="C89" s="9" t="s">
        <v>395</v>
      </c>
      <c r="D89" s="8" t="n">
        <v>2</v>
      </c>
      <c r="E89" s="10" t="s">
        <v>400</v>
      </c>
      <c r="F89" s="10" t="s">
        <v>401</v>
      </c>
      <c r="G89" s="10" t="s">
        <v>402</v>
      </c>
      <c r="H89" s="11" t="n">
        <v>47.4101</v>
      </c>
      <c r="I89" s="11" t="n">
        <v>0.9892</v>
      </c>
      <c r="J89" s="10" t="s">
        <v>403</v>
      </c>
      <c r="K89" s="10" t="s">
        <v>404</v>
      </c>
      <c r="L89" s="10"/>
    </row>
    <row r="90" customFormat="false" ht="23.85" hidden="false" customHeight="false" outlineLevel="0" collapsed="false">
      <c r="A90" s="8" t="n">
        <v>86</v>
      </c>
      <c r="B90" s="8" t="s">
        <v>239</v>
      </c>
      <c r="C90" s="9" t="s">
        <v>405</v>
      </c>
      <c r="D90" s="8" t="n">
        <v>1</v>
      </c>
      <c r="E90" s="10" t="s">
        <v>406</v>
      </c>
      <c r="F90" s="10" t="s">
        <v>407</v>
      </c>
      <c r="G90" s="10" t="s">
        <v>408</v>
      </c>
      <c r="H90" s="11" t="n">
        <v>46.1591</v>
      </c>
      <c r="I90" s="11" t="n">
        <v>-1.152</v>
      </c>
      <c r="J90" s="10" t="s">
        <v>409</v>
      </c>
      <c r="K90" s="10" t="s">
        <v>410</v>
      </c>
      <c r="L90" s="10"/>
    </row>
    <row r="91" customFormat="false" ht="23.85" hidden="false" customHeight="false" outlineLevel="0" collapsed="false">
      <c r="A91" s="8" t="n">
        <v>87</v>
      </c>
      <c r="B91" s="8" t="s">
        <v>239</v>
      </c>
      <c r="C91" s="9" t="s">
        <v>405</v>
      </c>
      <c r="D91" s="8" t="n">
        <v>2</v>
      </c>
      <c r="E91" s="10" t="s">
        <v>411</v>
      </c>
      <c r="F91" s="10" t="s">
        <v>412</v>
      </c>
      <c r="G91" s="10" t="s">
        <v>413</v>
      </c>
      <c r="H91" s="11" t="n">
        <v>43.388</v>
      </c>
      <c r="I91" s="11" t="n">
        <v>-1.663</v>
      </c>
      <c r="J91" s="10" t="s">
        <v>414</v>
      </c>
      <c r="K91" s="10" t="s">
        <v>415</v>
      </c>
      <c r="L91" s="10"/>
    </row>
    <row r="92" customFormat="false" ht="15" hidden="false" customHeight="false" outlineLevel="0" collapsed="false">
      <c r="A92" s="8" t="n">
        <v>88</v>
      </c>
      <c r="B92" s="8" t="s">
        <v>239</v>
      </c>
      <c r="C92" s="9" t="s">
        <v>405</v>
      </c>
      <c r="D92" s="8" t="n">
        <v>3</v>
      </c>
      <c r="E92" s="10" t="s">
        <v>416</v>
      </c>
      <c r="F92" s="10" t="s">
        <v>417</v>
      </c>
      <c r="G92" s="10" t="s">
        <v>418</v>
      </c>
      <c r="H92" s="11" t="n">
        <v>47.2306</v>
      </c>
      <c r="I92" s="11" t="n">
        <v>6.0356</v>
      </c>
      <c r="J92" s="10" t="s">
        <v>206</v>
      </c>
      <c r="K92" s="10" t="s">
        <v>419</v>
      </c>
      <c r="L92" s="10"/>
    </row>
    <row r="93" customFormat="false" ht="23.85" hidden="false" customHeight="false" outlineLevel="0" collapsed="false">
      <c r="A93" s="8" t="n">
        <v>89</v>
      </c>
      <c r="B93" s="8" t="s">
        <v>239</v>
      </c>
      <c r="C93" s="9" t="s">
        <v>405</v>
      </c>
      <c r="D93" s="8" t="n">
        <v>4</v>
      </c>
      <c r="E93" s="10" t="s">
        <v>420</v>
      </c>
      <c r="F93" s="10" t="s">
        <v>421</v>
      </c>
      <c r="G93" s="10" t="s">
        <v>422</v>
      </c>
      <c r="H93" s="11" t="n">
        <v>43.4106</v>
      </c>
      <c r="I93" s="11" t="n">
        <v>1.9744</v>
      </c>
      <c r="J93" s="10" t="s">
        <v>423</v>
      </c>
      <c r="K93" s="10" t="s">
        <v>424</v>
      </c>
      <c r="L93" s="10"/>
    </row>
    <row r="94" customFormat="false" ht="23.85" hidden="false" customHeight="false" outlineLevel="0" collapsed="false">
      <c r="A94" s="8" t="n">
        <v>90</v>
      </c>
      <c r="B94" s="8" t="s">
        <v>239</v>
      </c>
      <c r="C94" s="9" t="s">
        <v>425</v>
      </c>
      <c r="D94" s="8" t="n">
        <v>1</v>
      </c>
      <c r="E94" s="10" t="s">
        <v>426</v>
      </c>
      <c r="F94" s="10" t="s">
        <v>427</v>
      </c>
      <c r="G94" s="10" t="s">
        <v>428</v>
      </c>
      <c r="H94" s="11" t="n">
        <v>45.747</v>
      </c>
      <c r="I94" s="11" t="n">
        <v>-0.632</v>
      </c>
      <c r="J94" s="10" t="s">
        <v>429</v>
      </c>
      <c r="K94" s="10" t="s">
        <v>430</v>
      </c>
      <c r="L94" s="10"/>
    </row>
    <row r="95" customFormat="false" ht="15" hidden="false" customHeight="false" outlineLevel="0" collapsed="false">
      <c r="A95" s="8" t="n">
        <v>91</v>
      </c>
      <c r="B95" s="8" t="s">
        <v>239</v>
      </c>
      <c r="C95" s="9" t="s">
        <v>425</v>
      </c>
      <c r="D95" s="8" t="n">
        <v>2</v>
      </c>
      <c r="E95" s="10" t="s">
        <v>431</v>
      </c>
      <c r="F95" s="10" t="s">
        <v>432</v>
      </c>
      <c r="G95" s="10" t="s">
        <v>433</v>
      </c>
      <c r="H95" s="11" t="n">
        <v>49.2247</v>
      </c>
      <c r="I95" s="11" t="n">
        <v>5.0306</v>
      </c>
      <c r="J95" s="10" t="s">
        <v>434</v>
      </c>
      <c r="K95" s="10" t="s">
        <v>435</v>
      </c>
      <c r="L95" s="10"/>
    </row>
    <row r="96" customFormat="false" ht="23.85" hidden="false" customHeight="false" outlineLevel="0" collapsed="false">
      <c r="A96" s="8" t="n">
        <v>92</v>
      </c>
      <c r="B96" s="8" t="s">
        <v>239</v>
      </c>
      <c r="C96" s="9" t="s">
        <v>436</v>
      </c>
      <c r="D96" s="8" t="n">
        <v>1</v>
      </c>
      <c r="E96" s="10" t="s">
        <v>437</v>
      </c>
      <c r="F96" s="10" t="s">
        <v>17</v>
      </c>
      <c r="G96" s="10" t="s">
        <v>438</v>
      </c>
      <c r="H96" s="11" t="n">
        <v>45.4397</v>
      </c>
      <c r="I96" s="11" t="n">
        <v>4.3872</v>
      </c>
      <c r="J96" s="10" t="s">
        <v>439</v>
      </c>
      <c r="K96" s="10" t="s">
        <v>440</v>
      </c>
      <c r="L96" s="10"/>
    </row>
    <row r="97" customFormat="false" ht="23.85" hidden="false" customHeight="false" outlineLevel="0" collapsed="false">
      <c r="A97" s="8" t="n">
        <v>93</v>
      </c>
      <c r="B97" s="8" t="s">
        <v>239</v>
      </c>
      <c r="C97" s="9" t="s">
        <v>436</v>
      </c>
      <c r="D97" s="8" t="n">
        <v>2</v>
      </c>
      <c r="E97" s="10" t="s">
        <v>441</v>
      </c>
      <c r="F97" s="10" t="s">
        <v>17</v>
      </c>
      <c r="G97" s="10" t="s">
        <v>442</v>
      </c>
      <c r="H97" s="11" t="n">
        <v>48.8973</v>
      </c>
      <c r="I97" s="11" t="n">
        <v>2.0938</v>
      </c>
      <c r="J97" s="10" t="s">
        <v>443</v>
      </c>
      <c r="K97" s="10" t="s">
        <v>444</v>
      </c>
      <c r="L97" s="10"/>
    </row>
    <row r="98" customFormat="false" ht="23.85" hidden="false" customHeight="false" outlineLevel="0" collapsed="false">
      <c r="A98" s="8" t="n">
        <v>94</v>
      </c>
      <c r="B98" s="8" t="s">
        <v>239</v>
      </c>
      <c r="C98" s="9" t="s">
        <v>445</v>
      </c>
      <c r="D98" s="8" t="n">
        <v>1</v>
      </c>
      <c r="E98" s="10" t="s">
        <v>446</v>
      </c>
      <c r="F98" s="10" t="s">
        <v>447</v>
      </c>
      <c r="G98" s="10" t="s">
        <v>448</v>
      </c>
      <c r="H98" s="11" t="n">
        <v>44.8378</v>
      </c>
      <c r="I98" s="11" t="n">
        <v>-0.5792</v>
      </c>
      <c r="J98" s="10" t="s">
        <v>449</v>
      </c>
      <c r="K98" s="10" t="s">
        <v>450</v>
      </c>
      <c r="L98" s="10"/>
    </row>
    <row r="99" customFormat="false" ht="23.85" hidden="false" customHeight="false" outlineLevel="0" collapsed="false">
      <c r="A99" s="8" t="n">
        <v>95</v>
      </c>
      <c r="B99" s="8" t="s">
        <v>239</v>
      </c>
      <c r="C99" s="9" t="s">
        <v>451</v>
      </c>
      <c r="D99" s="8" t="n">
        <v>1</v>
      </c>
      <c r="E99" s="10" t="s">
        <v>452</v>
      </c>
      <c r="F99" s="10" t="s">
        <v>17</v>
      </c>
      <c r="G99" s="10" t="s">
        <v>453</v>
      </c>
      <c r="H99" s="11" t="n">
        <v>50.9223</v>
      </c>
      <c r="I99" s="11" t="n">
        <v>1.7944</v>
      </c>
      <c r="J99" s="10" t="s">
        <v>454</v>
      </c>
      <c r="K99" s="10" t="s">
        <v>455</v>
      </c>
      <c r="L99" s="10"/>
    </row>
  </sheetData>
  <autoFilter ref="A4:L99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25.5" hidden="false" customHeight="true" outlineLevel="0" collapsed="false">
      <c r="A1" s="1" t="s">
        <v>456</v>
      </c>
      <c r="B1" s="1"/>
    </row>
    <row r="3" customFormat="false" ht="15" hidden="false" customHeight="false" outlineLevel="0" collapsed="false">
      <c r="A3" s="12" t="s">
        <v>457</v>
      </c>
    </row>
    <row r="4" customFormat="false" ht="15" hidden="false" customHeight="false" outlineLevel="0" collapsed="false">
      <c r="A4" s="13" t="s">
        <v>3</v>
      </c>
      <c r="B4" s="13" t="s">
        <v>458</v>
      </c>
    </row>
    <row r="5" customFormat="false" ht="15" hidden="false" customHeight="false" outlineLevel="0" collapsed="false">
      <c r="A5" s="14" t="s">
        <v>14</v>
      </c>
      <c r="B5" s="15" t="n">
        <f aca="false">COUNTIF('À traiter'!$B$5:$B$99,$A5)</f>
        <v>49</v>
      </c>
    </row>
    <row r="6" customFormat="false" ht="15" hidden="false" customHeight="false" outlineLevel="0" collapsed="false">
      <c r="A6" s="16" t="s">
        <v>239</v>
      </c>
      <c r="B6" s="17" t="n">
        <f aca="false">COUNTIF('À traiter'!$B$5:$B$99,$A6)</f>
        <v>46</v>
      </c>
    </row>
    <row r="7" customFormat="false" ht="15" hidden="false" customHeight="false" outlineLevel="0" collapsed="false">
      <c r="A7" s="18" t="s">
        <v>459</v>
      </c>
      <c r="B7" s="19" t="n">
        <f aca="false">SUM(B5:B6)</f>
        <v>95</v>
      </c>
    </row>
    <row r="9" customFormat="false" ht="15" hidden="false" customHeight="false" outlineLevel="0" collapsed="false">
      <c r="A9" s="12" t="s">
        <v>460</v>
      </c>
    </row>
    <row r="10" customFormat="false" ht="15" hidden="false" customHeight="false" outlineLevel="0" collapsed="false">
      <c r="A10" s="13" t="s">
        <v>461</v>
      </c>
      <c r="B10" s="13" t="s">
        <v>458</v>
      </c>
    </row>
    <row r="11" customFormat="false" ht="15" hidden="false" customHeight="false" outlineLevel="0" collapsed="false">
      <c r="A11" s="20" t="s">
        <v>15</v>
      </c>
      <c r="B11" s="15" t="n">
        <f aca="false">COUNTIF('À traiter'!$C$5:$C$99,$A11)</f>
        <v>3</v>
      </c>
    </row>
    <row r="12" customFormat="false" ht="15" hidden="false" customHeight="false" outlineLevel="0" collapsed="false">
      <c r="A12" s="21" t="s">
        <v>29</v>
      </c>
      <c r="B12" s="17" t="n">
        <f aca="false">COUNTIF('À traiter'!$C$5:$C$99,$A12)</f>
        <v>3</v>
      </c>
    </row>
    <row r="13" customFormat="false" ht="15" hidden="false" customHeight="false" outlineLevel="0" collapsed="false">
      <c r="A13" s="20" t="s">
        <v>41</v>
      </c>
      <c r="B13" s="15" t="n">
        <f aca="false">COUNTIF('À traiter'!$C$5:$C$99,$A13)</f>
        <v>3</v>
      </c>
    </row>
    <row r="14" customFormat="false" ht="15" hidden="false" customHeight="false" outlineLevel="0" collapsed="false">
      <c r="A14" s="21" t="s">
        <v>54</v>
      </c>
      <c r="B14" s="17" t="n">
        <f aca="false">COUNTIF('À traiter'!$C$5:$C$99,$A14)</f>
        <v>4</v>
      </c>
    </row>
    <row r="15" customFormat="false" ht="15" hidden="false" customHeight="false" outlineLevel="0" collapsed="false">
      <c r="A15" s="20" t="s">
        <v>73</v>
      </c>
      <c r="B15" s="15" t="n">
        <f aca="false">COUNTIF('À traiter'!$C$5:$C$99,$A15)</f>
        <v>2</v>
      </c>
    </row>
    <row r="16" customFormat="false" ht="15" hidden="false" customHeight="false" outlineLevel="0" collapsed="false">
      <c r="A16" s="21" t="s">
        <v>81</v>
      </c>
      <c r="B16" s="17" t="n">
        <f aca="false">COUNTIF('À traiter'!$C$5:$C$99,$A16)</f>
        <v>3</v>
      </c>
    </row>
    <row r="17" customFormat="false" ht="15" hidden="false" customHeight="false" outlineLevel="0" collapsed="false">
      <c r="A17" s="20" t="s">
        <v>95</v>
      </c>
      <c r="B17" s="15" t="n">
        <f aca="false">COUNTIF('À traiter'!$C$5:$C$99,$A17)</f>
        <v>3</v>
      </c>
    </row>
    <row r="18" customFormat="false" ht="15" hidden="false" customHeight="false" outlineLevel="0" collapsed="false">
      <c r="A18" s="21" t="s">
        <v>107</v>
      </c>
      <c r="B18" s="17" t="n">
        <f aca="false">COUNTIF('À traiter'!$C$5:$C$99,$A18)</f>
        <v>3</v>
      </c>
    </row>
    <row r="19" customFormat="false" ht="15" hidden="false" customHeight="false" outlineLevel="0" collapsed="false">
      <c r="A19" s="20" t="s">
        <v>119</v>
      </c>
      <c r="B19" s="15" t="n">
        <f aca="false">COUNTIF('À traiter'!$C$5:$C$99,$A19)</f>
        <v>2</v>
      </c>
    </row>
    <row r="20" customFormat="false" ht="15" hidden="false" customHeight="false" outlineLevel="0" collapsed="false">
      <c r="A20" s="21" t="s">
        <v>128</v>
      </c>
      <c r="B20" s="17" t="n">
        <f aca="false">COUNTIF('À traiter'!$C$5:$C$99,$A20)</f>
        <v>3</v>
      </c>
    </row>
    <row r="21" customFormat="false" ht="15" hidden="false" customHeight="false" outlineLevel="0" collapsed="false">
      <c r="A21" s="20" t="s">
        <v>143</v>
      </c>
      <c r="B21" s="15" t="n">
        <f aca="false">COUNTIF('À traiter'!$C$5:$C$99,$A21)</f>
        <v>1</v>
      </c>
    </row>
    <row r="22" customFormat="false" ht="15" hidden="false" customHeight="false" outlineLevel="0" collapsed="false">
      <c r="A22" s="21" t="s">
        <v>148</v>
      </c>
      <c r="B22" s="17" t="n">
        <f aca="false">COUNTIF('À traiter'!$C$5:$C$99,$A22)</f>
        <v>2</v>
      </c>
    </row>
    <row r="23" customFormat="false" ht="15" hidden="false" customHeight="false" outlineLevel="0" collapsed="false">
      <c r="A23" s="20" t="s">
        <v>157</v>
      </c>
      <c r="B23" s="15" t="n">
        <f aca="false">COUNTIF('À traiter'!$C$5:$C$99,$A23)</f>
        <v>3</v>
      </c>
    </row>
    <row r="24" customFormat="false" ht="15" hidden="false" customHeight="false" outlineLevel="0" collapsed="false">
      <c r="A24" s="21" t="s">
        <v>170</v>
      </c>
      <c r="B24" s="17" t="n">
        <f aca="false">COUNTIF('À traiter'!$C$5:$C$99,$A24)</f>
        <v>3</v>
      </c>
    </row>
    <row r="25" customFormat="false" ht="15" hidden="false" customHeight="false" outlineLevel="0" collapsed="false">
      <c r="A25" s="20" t="s">
        <v>183</v>
      </c>
      <c r="B25" s="15" t="n">
        <f aca="false">COUNTIF('À traiter'!$C$5:$C$99,$A25)</f>
        <v>3</v>
      </c>
    </row>
    <row r="26" customFormat="false" ht="15" hidden="false" customHeight="false" outlineLevel="0" collapsed="false">
      <c r="A26" s="21" t="s">
        <v>198</v>
      </c>
      <c r="B26" s="17" t="n">
        <f aca="false">COUNTIF('À traiter'!$C$5:$C$99,$A26)</f>
        <v>2</v>
      </c>
    </row>
    <row r="27" customFormat="false" ht="15" hidden="false" customHeight="false" outlineLevel="0" collapsed="false">
      <c r="A27" s="20" t="s">
        <v>208</v>
      </c>
      <c r="B27" s="15" t="n">
        <f aca="false">COUNTIF('À traiter'!$C$5:$C$99,$A27)</f>
        <v>1</v>
      </c>
    </row>
    <row r="28" customFormat="false" ht="15" hidden="false" customHeight="false" outlineLevel="0" collapsed="false">
      <c r="A28" s="21" t="s">
        <v>215</v>
      </c>
      <c r="B28" s="17" t="n">
        <f aca="false">COUNTIF('À traiter'!$C$5:$C$99,$A28)</f>
        <v>3</v>
      </c>
    </row>
    <row r="29" customFormat="false" ht="15" hidden="false" customHeight="false" outlineLevel="0" collapsed="false">
      <c r="A29" s="20" t="s">
        <v>230</v>
      </c>
      <c r="B29" s="15" t="n">
        <f aca="false">COUNTIF('À traiter'!$C$5:$C$99,$A29)</f>
        <v>2</v>
      </c>
    </row>
    <row r="30" customFormat="false" ht="15" hidden="false" customHeight="false" outlineLevel="0" collapsed="false">
      <c r="A30" s="21" t="s">
        <v>240</v>
      </c>
      <c r="B30" s="17" t="n">
        <f aca="false">COUNTIF('À traiter'!$C$5:$C$99,$A30)</f>
        <v>3</v>
      </c>
    </row>
    <row r="31" customFormat="false" ht="15" hidden="false" customHeight="false" outlineLevel="0" collapsed="false">
      <c r="A31" s="20" t="s">
        <v>256</v>
      </c>
      <c r="B31" s="15" t="n">
        <f aca="false">COUNTIF('À traiter'!$C$5:$C$99,$A31)</f>
        <v>2</v>
      </c>
    </row>
    <row r="32" customFormat="false" ht="15" hidden="false" customHeight="false" outlineLevel="0" collapsed="false">
      <c r="A32" s="21" t="s">
        <v>266</v>
      </c>
      <c r="B32" s="17" t="n">
        <f aca="false">COUNTIF('À traiter'!$C$5:$C$99,$A32)</f>
        <v>2</v>
      </c>
    </row>
    <row r="33" customFormat="false" ht="15" hidden="false" customHeight="false" outlineLevel="0" collapsed="false">
      <c r="A33" s="20" t="s">
        <v>275</v>
      </c>
      <c r="B33" s="15" t="n">
        <f aca="false">COUNTIF('À traiter'!$C$5:$C$99,$A33)</f>
        <v>5</v>
      </c>
    </row>
    <row r="34" customFormat="false" ht="15" hidden="false" customHeight="false" outlineLevel="0" collapsed="false">
      <c r="A34" s="21" t="s">
        <v>291</v>
      </c>
      <c r="B34" s="17" t="n">
        <f aca="false">COUNTIF('À traiter'!$C$5:$C$99,$A34)</f>
        <v>2</v>
      </c>
    </row>
    <row r="35" customFormat="false" ht="15" hidden="false" customHeight="false" outlineLevel="0" collapsed="false">
      <c r="A35" s="20" t="s">
        <v>303</v>
      </c>
      <c r="B35" s="15" t="n">
        <f aca="false">COUNTIF('À traiter'!$C$5:$C$99,$A35)</f>
        <v>2</v>
      </c>
    </row>
    <row r="36" customFormat="false" ht="15" hidden="false" customHeight="false" outlineLevel="0" collapsed="false">
      <c r="A36" s="21" t="s">
        <v>315</v>
      </c>
      <c r="B36" s="17" t="n">
        <f aca="false">COUNTIF('À traiter'!$C$5:$C$99,$A36)</f>
        <v>2</v>
      </c>
    </row>
    <row r="37" customFormat="false" ht="15" hidden="false" customHeight="false" outlineLevel="0" collapsed="false">
      <c r="A37" s="20" t="s">
        <v>325</v>
      </c>
      <c r="B37" s="15" t="n">
        <f aca="false">COUNTIF('À traiter'!$C$5:$C$99,$A37)</f>
        <v>5</v>
      </c>
    </row>
    <row r="38" customFormat="false" ht="15" hidden="false" customHeight="false" outlineLevel="0" collapsed="false">
      <c r="A38" s="21" t="s">
        <v>347</v>
      </c>
      <c r="B38" s="17" t="n">
        <f aca="false">COUNTIF('À traiter'!$C$5:$C$99,$A38)</f>
        <v>4</v>
      </c>
    </row>
    <row r="39" customFormat="false" ht="15" hidden="false" customHeight="false" outlineLevel="0" collapsed="false">
      <c r="A39" s="20" t="s">
        <v>365</v>
      </c>
      <c r="B39" s="15" t="n">
        <f aca="false">COUNTIF('À traiter'!$C$5:$C$99,$A39)</f>
        <v>7</v>
      </c>
    </row>
    <row r="40" customFormat="false" ht="15" hidden="false" customHeight="false" outlineLevel="0" collapsed="false">
      <c r="A40" s="21" t="s">
        <v>395</v>
      </c>
      <c r="B40" s="17" t="n">
        <f aca="false">COUNTIF('À traiter'!$C$5:$C$99,$A40)</f>
        <v>2</v>
      </c>
    </row>
    <row r="41" customFormat="false" ht="15" hidden="false" customHeight="false" outlineLevel="0" collapsed="false">
      <c r="A41" s="20" t="s">
        <v>405</v>
      </c>
      <c r="B41" s="15" t="n">
        <f aca="false">COUNTIF('À traiter'!$C$5:$C$99,$A41)</f>
        <v>4</v>
      </c>
    </row>
    <row r="42" customFormat="false" ht="15" hidden="false" customHeight="false" outlineLevel="0" collapsed="false">
      <c r="A42" s="21" t="s">
        <v>425</v>
      </c>
      <c r="B42" s="17" t="n">
        <f aca="false">COUNTIF('À traiter'!$C$5:$C$99,$A42)</f>
        <v>2</v>
      </c>
    </row>
    <row r="43" customFormat="false" ht="15" hidden="false" customHeight="false" outlineLevel="0" collapsed="false">
      <c r="A43" s="20" t="s">
        <v>436</v>
      </c>
      <c r="B43" s="15" t="n">
        <f aca="false">COUNTIF('À traiter'!$C$5:$C$99,$A43)</f>
        <v>2</v>
      </c>
    </row>
    <row r="44" customFormat="false" ht="15" hidden="false" customHeight="false" outlineLevel="0" collapsed="false">
      <c r="A44" s="21" t="s">
        <v>445</v>
      </c>
      <c r="B44" s="17" t="n">
        <f aca="false">COUNTIF('À traiter'!$C$5:$C$99,$A44)</f>
        <v>1</v>
      </c>
    </row>
    <row r="45" customFormat="false" ht="15" hidden="false" customHeight="false" outlineLevel="0" collapsed="false">
      <c r="A45" s="20" t="s">
        <v>451</v>
      </c>
      <c r="B45" s="15" t="n">
        <f aca="false">COUNTIF('À traiter'!$C$5:$C$99,$A45)</f>
        <v>1</v>
      </c>
    </row>
    <row r="46" customFormat="false" ht="15" hidden="false" customHeight="false" outlineLevel="0" collapsed="false">
      <c r="A46" s="18" t="s">
        <v>459</v>
      </c>
      <c r="B46" s="19" t="n">
        <f aca="false">SUM(B11:B45)</f>
        <v>95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2026-06-28T09:51:42Z</dcterms:created>
  <dc:creator>openpyxl</dc:creator>
  <dc:description/>
  <dc:language>en-US</dc:language>
  <cp:lastModifiedBy/>
  <dcterms:modified xsi:type="dcterms:W3CDTF">2026-06-28T09:51:42Z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