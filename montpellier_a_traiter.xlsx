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À traiter" sheetId="1" state="visible" r:id="rId3"/>
    <sheet name="Décompte" sheetId="2" state="visible" r:id="rId4"/>
  </sheets>
  <definedNames>
    <definedName function="false" hidden="true" localSheetId="0" name="_xlnm._FilterDatabase" vbProcedure="false">'À traiter'!$A$4:$K$34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<sst xmlns="http://schemas.openxmlformats.org/spreadsheetml/2006/main" count="211" uniqueCount="165">
  <si>
    <t xml:space="preserve">History Pins — Faits historiques de Montpellier</t>
  </si>
  <si>
    <t xml:space="preserve">30 histoires, de la Via Domitia au tramway, regroupées par période. Une ligne = une histoire ; coordonnées = lieu réel. Aucun doublon avec stories.ts ni le fichier master (sujets propres à Montpellier).</t>
  </si>
  <si>
    <t xml:space="preserve">N°</t>
  </si>
  <si>
    <t xml:space="preserve">Chapitre (période · thème)</t>
  </si>
  <si>
    <t xml:space="preserve">N° ds chap.</t>
  </si>
  <si>
    <t xml:space="preserve">Histoire / anecdote</t>
  </si>
  <si>
    <t xml:space="preserve">Personnages clés</t>
  </si>
  <si>
    <t xml:space="preserve">Lieu</t>
  </si>
  <si>
    <t xml:space="preserve">Lat</t>
  </si>
  <si>
    <t xml:space="preserve">Lng</t>
  </si>
  <si>
    <t xml:space="preserve">Période</t>
  </si>
  <si>
    <t xml:space="preserve">Commande /new-story</t>
  </si>
  <si>
    <t xml:space="preserve">Notes</t>
  </si>
  <si>
    <t xml:space="preserve">01 · Antiquité · La Via Domitia</t>
  </si>
  <si>
    <t xml:space="preserve">La Via Domitia traverse la région et l'oppidum de Sextantio</t>
  </si>
  <si>
    <t xml:space="preserve">Romains</t>
  </si>
  <si>
    <t xml:space="preserve">Sextantio (Castelnau-le-Lez)</t>
  </si>
  <si>
    <t xml:space="preserve">118 av. J.-C.</t>
  </si>
  <si>
    <t xml:space="preserve">/new-story La Via Domitia traverse la région et l'oppidum de Sextantio</t>
  </si>
  <si>
    <t xml:space="preserve">Près de Montpellier ; la ville n'existe pas encore</t>
  </si>
  <si>
    <t xml:space="preserve">02 · Xe-XIIe s. · Naissance médiévale</t>
  </si>
  <si>
    <t xml:space="preserve">La fondation de Montpellier : la donation au chevalier Guilhem</t>
  </si>
  <si>
    <t xml:space="preserve">Guilhem Ier, comte de Melgueil</t>
  </si>
  <si>
    <t xml:space="preserve">L'Écusson (centre ancien)</t>
  </si>
  <si>
    <t xml:space="preserve">985</t>
  </si>
  <si>
    <t xml:space="preserve">/new-story La fondation de Montpellier : la donation au chevalier Guilhem</t>
  </si>
  <si>
    <t xml:space="preserve">Notre-Dame-des-Tables, halte des pèlerins de Saint-Jacques</t>
  </si>
  <si>
    <t xml:space="preserve">Pèlerins jacquaires</t>
  </si>
  <si>
    <t xml:space="preserve">Place Jean-Jaurès</t>
  </si>
  <si>
    <t xml:space="preserve">XIe-XIIe s.</t>
  </si>
  <si>
    <t xml:space="preserve">/new-story Notre-Dame-des-Tables, halte des pèlerins de Saint-Jacques</t>
  </si>
  <si>
    <t xml:space="preserve">Église détruite aux guerres de Religion</t>
  </si>
  <si>
    <t xml:space="preserve">Les tours des remparts : la Babote et la tour des Pins</t>
  </si>
  <si>
    <t xml:space="preserve">—</t>
  </si>
  <si>
    <t xml:space="preserve">Tour des Pins</t>
  </si>
  <si>
    <t xml:space="preserve">v. 1200</t>
  </si>
  <si>
    <t xml:space="preserve">/new-story Les tours des remparts : la Babote et la tour des Pins</t>
  </si>
  <si>
    <t xml:space="preserve">03 · XIIe-XIIIe s. · Médecine et université</t>
  </si>
  <si>
    <t xml:space="preserve">Guilhem VIII proclame la liberté d'enseigner la médecine</t>
  </si>
  <si>
    <t xml:space="preserve">Guilhem VIII</t>
  </si>
  <si>
    <t xml:space="preserve">Vieux Montpellier</t>
  </si>
  <si>
    <t xml:space="preserve">1181</t>
  </si>
  <si>
    <t xml:space="preserve">/new-story Guilhem VIII proclame la liberté d'enseigner la médecine</t>
  </si>
  <si>
    <t xml:space="preserve">Les médecins juifs et arabes, chassés d'Espagne, enrichissent l'école</t>
  </si>
  <si>
    <t xml:space="preserve">Médecins juifs et arabes</t>
  </si>
  <si>
    <t xml:space="preserve">Quartier de la faculté</t>
  </si>
  <si>
    <t xml:space="preserve">XIIe-XIIIe s.</t>
  </si>
  <si>
    <t xml:space="preserve">/new-story Les médecins juifs et arabes, chassés d'Espagne, enrichissent l'école</t>
  </si>
  <si>
    <t xml:space="preserve">Le mikvé médiéval, un des plus anciens bains rituels juifs d'Europe</t>
  </si>
  <si>
    <t xml:space="preserve">Communauté juive</t>
  </si>
  <si>
    <t xml:space="preserve">Rue de la Barralerie</t>
  </si>
  <si>
    <t xml:space="preserve">/new-story Le mikvé médiéval, un des plus anciens bains rituels juifs d'Europe</t>
  </si>
  <si>
    <t xml:space="preserve">La fondation de la faculté de médecine (statuts du cardinal Conrad)</t>
  </si>
  <si>
    <t xml:space="preserve">Cardinal Conrad d'Urach</t>
  </si>
  <si>
    <t xml:space="preserve">Monastère Saint-Benoît</t>
  </si>
  <si>
    <t xml:space="preserve">17 août 1220</t>
  </si>
  <si>
    <t xml:space="preserve">/new-story La fondation de la faculté de médecine (statuts du cardinal Conrad)</t>
  </si>
  <si>
    <t xml:space="preserve">Plus vieille fac de médecine en activité</t>
  </si>
  <si>
    <t xml:space="preserve">La bulle du pape Nicolas IV érige l'université (studium generale)</t>
  </si>
  <si>
    <t xml:space="preserve">Nicolas IV</t>
  </si>
  <si>
    <t xml:space="preserve">1289</t>
  </si>
  <si>
    <t xml:space="preserve">/new-story La bulle du pape Nicolas IV érige l'université (studium generale)</t>
  </si>
  <si>
    <t xml:space="preserve">04 · XIIIe-XIVe s. · L'âge d'or aragonais</t>
  </si>
  <si>
    <t xml:space="preserve">Marie de Montpellier épouse Pierre II d'Aragon, la Grande Charte</t>
  </si>
  <si>
    <t xml:space="preserve">Marie de Montpellier, Pierre II</t>
  </si>
  <si>
    <t xml:space="preserve">L'Écusson</t>
  </si>
  <si>
    <t xml:space="preserve">1204</t>
  </si>
  <si>
    <t xml:space="preserve">/new-story Marie de Montpellier épouse Pierre II d'Aragon, la Grande Charte</t>
  </si>
  <si>
    <t xml:space="preserve">La naissance de Jacques Ier d'Aragon à Montpellier</t>
  </si>
  <si>
    <t xml:space="preserve">Jacques Ier d'Aragon</t>
  </si>
  <si>
    <t xml:space="preserve">1208</t>
  </si>
  <si>
    <t xml:space="preserve">/new-story La naissance de Jacques Ier d'Aragon à Montpellier</t>
  </si>
  <si>
    <t xml:space="preserve">L'apogée : capitale du négoce des épices et des tissus</t>
  </si>
  <si>
    <t xml:space="preserve">Consuls, marchands</t>
  </si>
  <si>
    <t xml:space="preserve">1204-1349</t>
  </si>
  <si>
    <t xml:space="preserve">/new-story L'apogée : capitale du négoce des épices et des tissus</t>
  </si>
  <si>
    <t xml:space="preserve">2e ou 3e ville de France</t>
  </si>
  <si>
    <t xml:space="preserve">Pétrarque étudie le droit à Montpellier</t>
  </si>
  <si>
    <t xml:space="preserve">Pétrarque</t>
  </si>
  <si>
    <t xml:space="preserve">v. 1316-1320</t>
  </si>
  <si>
    <t xml:space="preserve">/new-story Pétrarque étudie le droit à Montpellier</t>
  </si>
  <si>
    <t xml:space="preserve">La création du cours d'anatomie</t>
  </si>
  <si>
    <t xml:space="preserve">Faculté de médecine</t>
  </si>
  <si>
    <t xml:space="preserve">1340</t>
  </si>
  <si>
    <t xml:space="preserve">/new-story La création du cours d'anatomie</t>
  </si>
  <si>
    <t xml:space="preserve">05 · XIVe-XVe s. · Le rattachement à la France</t>
  </si>
  <si>
    <t xml:space="preserve">Le roi de Majorque vend Montpellier à Philippe VI</t>
  </si>
  <si>
    <t xml:space="preserve">Jacques III de Majorque, Philippe VI</t>
  </si>
  <si>
    <t xml:space="preserve">1349</t>
  </si>
  <si>
    <t xml:space="preserve">/new-story Le roi de Majorque vend Montpellier à Philippe VI</t>
  </si>
  <si>
    <t xml:space="preserve">Le pape Urbain V fonde le monastère Saint-Benoît</t>
  </si>
  <si>
    <t xml:space="preserve">Urbain V</t>
  </si>
  <si>
    <t xml:space="preserve">Cathédrale / faculté</t>
  </si>
  <si>
    <t xml:space="preserve">1364</t>
  </si>
  <si>
    <t xml:space="preserve">/new-story Le pape Urbain V fonde le monastère Saint-Benoît</t>
  </si>
  <si>
    <t xml:space="preserve">Jacques Cœur s'installe à Montpellier, plaque tournante du commerce</t>
  </si>
  <si>
    <t xml:space="preserve">Jacques Cœur</t>
  </si>
  <si>
    <t xml:space="preserve">1432</t>
  </si>
  <si>
    <t xml:space="preserve">/new-story Jacques Cœur s'installe à Montpellier, plaque tournante du commerce</t>
  </si>
  <si>
    <t xml:space="preserve">06 · XVIe s. · Renaissance et Religion</t>
  </si>
  <si>
    <t xml:space="preserve">Rabelais étudiant à la faculté de médecine</t>
  </si>
  <si>
    <t xml:space="preserve">François Rabelais</t>
  </si>
  <si>
    <t xml:space="preserve">1530</t>
  </si>
  <si>
    <t xml:space="preserve">/new-story Rabelais étudiant à la faculté de médecine</t>
  </si>
  <si>
    <t xml:space="preserve">Nostradamus inscrit à la faculté de médecine</t>
  </si>
  <si>
    <t xml:space="preserve">Nostradamus</t>
  </si>
  <si>
    <t xml:space="preserve">1529</t>
  </si>
  <si>
    <t xml:space="preserve">/new-story Nostradamus inscrit à la faculté de médecine</t>
  </si>
  <si>
    <t xml:space="preserve">Séjour bref et contesté</t>
  </si>
  <si>
    <t xml:space="preserve">L'évêché quitte Maguelone : Saint-Pierre devient cathédrale</t>
  </si>
  <si>
    <t xml:space="preserve">Évêques de Maguelone</t>
  </si>
  <si>
    <t xml:space="preserve">Cathédrale Saint-Pierre</t>
  </si>
  <si>
    <t xml:space="preserve">1536</t>
  </si>
  <si>
    <t xml:space="preserve">/new-story L'évêché quitte Maguelone : Saint-Pierre devient cathédrale</t>
  </si>
  <si>
    <t xml:space="preserve">Montpellier, place forte protestante ; destruction de Notre-Dame-des-Tables</t>
  </si>
  <si>
    <t xml:space="preserve">Protestants</t>
  </si>
  <si>
    <t xml:space="preserve">v. 1560-1567</t>
  </si>
  <si>
    <t xml:space="preserve">/new-story Montpellier, place forte protestante ; destruction de Notre-Dame-des-Tables</t>
  </si>
  <si>
    <t xml:space="preserve">Le jardin des plantes, plus ancien jardin botanique de France</t>
  </si>
  <si>
    <t xml:space="preserve">Richer de Belleval, Henri IV</t>
  </si>
  <si>
    <t xml:space="preserve">Jardin des plantes</t>
  </si>
  <si>
    <t xml:space="preserve">1593</t>
  </si>
  <si>
    <t xml:space="preserve">/new-story Le jardin des plantes, plus ancien jardin botanique de France</t>
  </si>
  <si>
    <t xml:space="preserve">07 · XVIIe s. · Le siège et la citadelle</t>
  </si>
  <si>
    <t xml:space="preserve">Le siège de Montpellier et la paix de Montpellier</t>
  </si>
  <si>
    <t xml:space="preserve">Louis XIII</t>
  </si>
  <si>
    <t xml:space="preserve">Vieille ville</t>
  </si>
  <si>
    <t xml:space="preserve">1622</t>
  </si>
  <si>
    <t xml:space="preserve">/new-story Le siège de Montpellier et la paix de Montpellier</t>
  </si>
  <si>
    <t xml:space="preserve">La citadelle de Louis XIII pour mater la ville (auj. lycée Joffre)</t>
  </si>
  <si>
    <t xml:space="preserve">Citadelle</t>
  </si>
  <si>
    <t xml:space="preserve">après 1622</t>
  </si>
  <si>
    <t xml:space="preserve">/new-story La citadelle de Louis XIII pour mater la ville (auj. lycée Joffre)</t>
  </si>
  <si>
    <t xml:space="preserve">08 · XVIIe-XVIIIe s. · Le Peyrou et les eaux</t>
  </si>
  <si>
    <t xml:space="preserve">La porte du Peyrou, arc de triomphe à la gloire de Louis XIV</t>
  </si>
  <si>
    <t xml:space="preserve">Louis XIV</t>
  </si>
  <si>
    <t xml:space="preserve">Porte du Peyrou</t>
  </si>
  <si>
    <t xml:space="preserve">1693</t>
  </si>
  <si>
    <t xml:space="preserve">/new-story La porte du Peyrou, arc de triomphe à la gloire de Louis XIV</t>
  </si>
  <si>
    <t xml:space="preserve">La promenade du Peyrou et la statue équestre de Louis XIV</t>
  </si>
  <si>
    <t xml:space="preserve">Promenade du Peyrou</t>
  </si>
  <si>
    <t xml:space="preserve">XVIIIe s.</t>
  </si>
  <si>
    <t xml:space="preserve">/new-story La promenade du Peyrou et la statue équestre de Louis XIV</t>
  </si>
  <si>
    <t xml:space="preserve">L'aqueduc Saint-Clément et le château d'eau du Peyrou</t>
  </si>
  <si>
    <t xml:space="preserve">Aqueduc des Arceaux</t>
  </si>
  <si>
    <t xml:space="preserve">1753-1766</t>
  </si>
  <si>
    <t xml:space="preserve">/new-story L'aqueduc Saint-Clément et le château d'eau du Peyrou</t>
  </si>
  <si>
    <t xml:space="preserve">09 · XIXe-XXIe s. · La ville moderne</t>
  </si>
  <si>
    <t xml:space="preserve">La place de la Comédie et l'opéra, « l'Œuf »</t>
  </si>
  <si>
    <t xml:space="preserve">Place de la Comédie</t>
  </si>
  <si>
    <t xml:space="preserve">XIXe s.</t>
  </si>
  <si>
    <t xml:space="preserve">/new-story La place de la Comédie et l'opéra, « l'Œuf »</t>
  </si>
  <si>
    <t xml:space="preserve">Le quartier Antigone de Ricardo Bofill</t>
  </si>
  <si>
    <t xml:space="preserve">Ricardo Bofill</t>
  </si>
  <si>
    <t xml:space="preserve">Antigone</t>
  </si>
  <si>
    <t xml:space="preserve">années 1980</t>
  </si>
  <si>
    <t xml:space="preserve">/new-story Le quartier Antigone de Ricardo Bofill</t>
  </si>
  <si>
    <t xml:space="preserve">Le tramway aux décors de Christian Lacroix</t>
  </si>
  <si>
    <t xml:space="preserve">Christian Lacroix</t>
  </si>
  <si>
    <t xml:space="preserve">Centre-ville</t>
  </si>
  <si>
    <t xml:space="preserve">2000</t>
  </si>
  <si>
    <t xml:space="preserve">/new-story Le tramway aux décors de Christian Lacroix</t>
  </si>
  <si>
    <t xml:space="preserve">Décompte par période</t>
  </si>
  <si>
    <t xml:space="preserve">Nombre d'histoires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</si>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</sst>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C9A227"/>
        <bgColor rgb="FF99CC00"/>
      </patternFill>
    </fill>
    <fill>
      <patternFill patternType="solid">
        <fgColor rgb="FFF2F4F7"/>
        <bgColor rgb="FFE9EEF5"/>
      </patternFill>
    </fill>
    <fill>
      <patternFill patternType="solid">
        <fgColor rgb="FFE9EEF5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0DA"/>
      </left>
      <right style="thin">
        <color rgb="FFC8D0DA"/>
      </right>
      <top style="thin">
        <color rgb="FFC8D0DA"/>
      </top>
      <bottom style="thin">
        <color rgb="FFC8D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C9A227"/>
          <bgColor rgb="FF000000"/>
        </patternFill>
      </fill>
    </dxf>
    <dxf>
      <fill>
        <patternFill patternType="solid">
          <fgColor rgb="FFE9EEF5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A5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7"/>
      <rgbColor rgb="FFE9EEF5"/>
      <rgbColor rgb="FF660066"/>
      <rgbColor rgb="FFFF8080"/>
      <rgbColor rgb="FF0066CC"/>
      <rgbColor rgb="FFC8D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46"/>
    <col collapsed="false" customWidth="true" hidden="false" outlineLevel="0" max="6" min="5" style="0" width="26"/>
    <col collapsed="false" customWidth="true" hidden="false" outlineLevel="0" max="8" min="7" style="0" width="9"/>
    <col collapsed="false" customWidth="true" hidden="false" outlineLevel="0" max="9" min="9" style="0" width="15"/>
    <col collapsed="false" customWidth="true" hidden="false" outlineLevel="0" max="10" min="10" style="0" width="46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3.85" hidden="false" customHeight="false" outlineLevel="0" collapsed="false">
      <c r="A5" s="4" t="n">
        <v>1</v>
      </c>
      <c r="B5" s="5" t="s">
        <v>13</v>
      </c>
      <c r="C5" s="4" t="n">
        <v>1</v>
      </c>
      <c r="D5" s="6" t="s">
        <v>14</v>
      </c>
      <c r="E5" s="6" t="s">
        <v>15</v>
      </c>
      <c r="F5" s="6" t="s">
        <v>16</v>
      </c>
      <c r="G5" s="7" t="n">
        <v>43.6347</v>
      </c>
      <c r="H5" s="7" t="n">
        <v>3.9028</v>
      </c>
      <c r="I5" s="6" t="s">
        <v>17</v>
      </c>
      <c r="J5" s="6" t="s">
        <v>18</v>
      </c>
      <c r="K5" s="6" t="s">
        <v>19</v>
      </c>
    </row>
    <row r="6" customFormat="false" ht="23.85" hidden="false" customHeight="false" outlineLevel="0" collapsed="false">
      <c r="A6" s="8" t="n">
        <v>2</v>
      </c>
      <c r="B6" s="9" t="s">
        <v>20</v>
      </c>
      <c r="C6" s="8" t="n">
        <v>1</v>
      </c>
      <c r="D6" s="10" t="s">
        <v>21</v>
      </c>
      <c r="E6" s="10" t="s">
        <v>22</v>
      </c>
      <c r="F6" s="10" t="s">
        <v>23</v>
      </c>
      <c r="G6" s="11" t="n">
        <v>43.6112</v>
      </c>
      <c r="H6" s="11" t="n">
        <v>3.8767</v>
      </c>
      <c r="I6" s="10" t="s">
        <v>24</v>
      </c>
      <c r="J6" s="10" t="s">
        <v>25</v>
      </c>
      <c r="K6" s="10"/>
    </row>
    <row r="7" customFormat="false" ht="23.85" hidden="false" customHeight="false" outlineLevel="0" collapsed="false">
      <c r="A7" s="8" t="n">
        <v>3</v>
      </c>
      <c r="B7" s="9" t="s">
        <v>20</v>
      </c>
      <c r="C7" s="8" t="n">
        <v>2</v>
      </c>
      <c r="D7" s="10" t="s">
        <v>26</v>
      </c>
      <c r="E7" s="10" t="s">
        <v>27</v>
      </c>
      <c r="F7" s="10" t="s">
        <v>28</v>
      </c>
      <c r="G7" s="11" t="n">
        <v>43.609</v>
      </c>
      <c r="H7" s="11" t="n">
        <v>3.8772</v>
      </c>
      <c r="I7" s="10" t="s">
        <v>29</v>
      </c>
      <c r="J7" s="10" t="s">
        <v>30</v>
      </c>
      <c r="K7" s="10" t="s">
        <v>31</v>
      </c>
    </row>
    <row r="8" customFormat="false" ht="23.85" hidden="false" customHeight="false" outlineLevel="0" collapsed="false">
      <c r="A8" s="8" t="n">
        <v>4</v>
      </c>
      <c r="B8" s="9" t="s">
        <v>20</v>
      </c>
      <c r="C8" s="8" t="n">
        <v>3</v>
      </c>
      <c r="D8" s="10" t="s">
        <v>32</v>
      </c>
      <c r="E8" s="10" t="s">
        <v>33</v>
      </c>
      <c r="F8" s="10" t="s">
        <v>34</v>
      </c>
      <c r="G8" s="11" t="n">
        <v>43.6133</v>
      </c>
      <c r="H8" s="11" t="n">
        <v>3.8744</v>
      </c>
      <c r="I8" s="10" t="s">
        <v>35</v>
      </c>
      <c r="J8" s="10" t="s">
        <v>36</v>
      </c>
      <c r="K8" s="10"/>
    </row>
    <row r="9" customFormat="false" ht="23.85" hidden="false" customHeight="false" outlineLevel="0" collapsed="false">
      <c r="A9" s="4" t="n">
        <v>5</v>
      </c>
      <c r="B9" s="5" t="s">
        <v>37</v>
      </c>
      <c r="C9" s="4" t="n">
        <v>1</v>
      </c>
      <c r="D9" s="6" t="s">
        <v>38</v>
      </c>
      <c r="E9" s="6" t="s">
        <v>39</v>
      </c>
      <c r="F9" s="6" t="s">
        <v>40</v>
      </c>
      <c r="G9" s="7" t="n">
        <v>43.6128</v>
      </c>
      <c r="H9" s="7" t="n">
        <v>3.873</v>
      </c>
      <c r="I9" s="6" t="s">
        <v>41</v>
      </c>
      <c r="J9" s="6" t="s">
        <v>42</v>
      </c>
      <c r="K9" s="6"/>
    </row>
    <row r="10" customFormat="false" ht="23.85" hidden="false" customHeight="false" outlineLevel="0" collapsed="false">
      <c r="A10" s="4" t="n">
        <v>6</v>
      </c>
      <c r="B10" s="5" t="s">
        <v>37</v>
      </c>
      <c r="C10" s="4" t="n">
        <v>2</v>
      </c>
      <c r="D10" s="6" t="s">
        <v>43</v>
      </c>
      <c r="E10" s="6" t="s">
        <v>44</v>
      </c>
      <c r="F10" s="6" t="s">
        <v>45</v>
      </c>
      <c r="G10" s="7" t="n">
        <v>43.6128</v>
      </c>
      <c r="H10" s="7" t="n">
        <v>3.873</v>
      </c>
      <c r="I10" s="6" t="s">
        <v>46</v>
      </c>
      <c r="J10" s="6" t="s">
        <v>47</v>
      </c>
      <c r="K10" s="6"/>
    </row>
    <row r="11" customFormat="false" ht="23.85" hidden="false" customHeight="false" outlineLevel="0" collapsed="false">
      <c r="A11" s="4" t="n">
        <v>7</v>
      </c>
      <c r="B11" s="5" t="s">
        <v>37</v>
      </c>
      <c r="C11" s="4" t="n">
        <v>3</v>
      </c>
      <c r="D11" s="6" t="s">
        <v>48</v>
      </c>
      <c r="E11" s="6" t="s">
        <v>49</v>
      </c>
      <c r="F11" s="6" t="s">
        <v>50</v>
      </c>
      <c r="G11" s="7" t="n">
        <v>43.6118</v>
      </c>
      <c r="H11" s="7" t="n">
        <v>3.8748</v>
      </c>
      <c r="I11" s="6" t="s">
        <v>46</v>
      </c>
      <c r="J11" s="6" t="s">
        <v>51</v>
      </c>
      <c r="K11" s="6"/>
    </row>
    <row r="12" customFormat="false" ht="23.85" hidden="false" customHeight="false" outlineLevel="0" collapsed="false">
      <c r="A12" s="4" t="n">
        <v>8</v>
      </c>
      <c r="B12" s="5" t="s">
        <v>37</v>
      </c>
      <c r="C12" s="4" t="n">
        <v>4</v>
      </c>
      <c r="D12" s="6" t="s">
        <v>52</v>
      </c>
      <c r="E12" s="6" t="s">
        <v>53</v>
      </c>
      <c r="F12" s="6" t="s">
        <v>54</v>
      </c>
      <c r="G12" s="7" t="n">
        <v>43.6142</v>
      </c>
      <c r="H12" s="7" t="n">
        <v>3.8722</v>
      </c>
      <c r="I12" s="6" t="s">
        <v>55</v>
      </c>
      <c r="J12" s="6" t="s">
        <v>56</v>
      </c>
      <c r="K12" s="6" t="s">
        <v>57</v>
      </c>
    </row>
    <row r="13" customFormat="false" ht="23.85" hidden="false" customHeight="false" outlineLevel="0" collapsed="false">
      <c r="A13" s="4" t="n">
        <v>9</v>
      </c>
      <c r="B13" s="5" t="s">
        <v>37</v>
      </c>
      <c r="C13" s="4" t="n">
        <v>5</v>
      </c>
      <c r="D13" s="6" t="s">
        <v>58</v>
      </c>
      <c r="E13" s="6" t="s">
        <v>59</v>
      </c>
      <c r="F13" s="6" t="s">
        <v>40</v>
      </c>
      <c r="G13" s="7" t="n">
        <v>43.6128</v>
      </c>
      <c r="H13" s="7" t="n">
        <v>3.873</v>
      </c>
      <c r="I13" s="6" t="s">
        <v>60</v>
      </c>
      <c r="J13" s="6" t="s">
        <v>61</v>
      </c>
      <c r="K13" s="6"/>
    </row>
    <row r="14" customFormat="false" ht="23.85" hidden="false" customHeight="false" outlineLevel="0" collapsed="false">
      <c r="A14" s="8" t="n">
        <v>10</v>
      </c>
      <c r="B14" s="9" t="s">
        <v>62</v>
      </c>
      <c r="C14" s="8" t="n">
        <v>1</v>
      </c>
      <c r="D14" s="10" t="s">
        <v>63</v>
      </c>
      <c r="E14" s="10" t="s">
        <v>64</v>
      </c>
      <c r="F14" s="10" t="s">
        <v>65</v>
      </c>
      <c r="G14" s="11" t="n">
        <v>43.6112</v>
      </c>
      <c r="H14" s="11" t="n">
        <v>3.8767</v>
      </c>
      <c r="I14" s="10" t="s">
        <v>66</v>
      </c>
      <c r="J14" s="10" t="s">
        <v>67</v>
      </c>
      <c r="K14" s="10"/>
    </row>
    <row r="15" customFormat="false" ht="23.85" hidden="false" customHeight="false" outlineLevel="0" collapsed="false">
      <c r="A15" s="8" t="n">
        <v>11</v>
      </c>
      <c r="B15" s="9" t="s">
        <v>62</v>
      </c>
      <c r="C15" s="8" t="n">
        <v>2</v>
      </c>
      <c r="D15" s="10" t="s">
        <v>68</v>
      </c>
      <c r="E15" s="10" t="s">
        <v>69</v>
      </c>
      <c r="F15" s="10" t="s">
        <v>65</v>
      </c>
      <c r="G15" s="11" t="n">
        <v>43.6112</v>
      </c>
      <c r="H15" s="11" t="n">
        <v>3.8767</v>
      </c>
      <c r="I15" s="10" t="s">
        <v>70</v>
      </c>
      <c r="J15" s="10" t="s">
        <v>71</v>
      </c>
      <c r="K15" s="10"/>
    </row>
    <row r="16" customFormat="false" ht="23.85" hidden="false" customHeight="false" outlineLevel="0" collapsed="false">
      <c r="A16" s="8" t="n">
        <v>12</v>
      </c>
      <c r="B16" s="9" t="s">
        <v>62</v>
      </c>
      <c r="C16" s="8" t="n">
        <v>3</v>
      </c>
      <c r="D16" s="10" t="s">
        <v>72</v>
      </c>
      <c r="E16" s="10" t="s">
        <v>73</v>
      </c>
      <c r="F16" s="10" t="s">
        <v>28</v>
      </c>
      <c r="G16" s="11" t="n">
        <v>43.609</v>
      </c>
      <c r="H16" s="11" t="n">
        <v>3.8772</v>
      </c>
      <c r="I16" s="10" t="s">
        <v>74</v>
      </c>
      <c r="J16" s="10" t="s">
        <v>75</v>
      </c>
      <c r="K16" s="10" t="s">
        <v>76</v>
      </c>
    </row>
    <row r="17" customFormat="false" ht="23.85" hidden="false" customHeight="false" outlineLevel="0" collapsed="false">
      <c r="A17" s="8" t="n">
        <v>13</v>
      </c>
      <c r="B17" s="9" t="s">
        <v>62</v>
      </c>
      <c r="C17" s="8" t="n">
        <v>4</v>
      </c>
      <c r="D17" s="10" t="s">
        <v>77</v>
      </c>
      <c r="E17" s="10" t="s">
        <v>78</v>
      </c>
      <c r="F17" s="10" t="s">
        <v>40</v>
      </c>
      <c r="G17" s="11" t="n">
        <v>43.6128</v>
      </c>
      <c r="H17" s="11" t="n">
        <v>3.873</v>
      </c>
      <c r="I17" s="10" t="s">
        <v>79</v>
      </c>
      <c r="J17" s="10" t="s">
        <v>80</v>
      </c>
      <c r="K17" s="10"/>
    </row>
    <row r="18" customFormat="false" ht="23.85" hidden="false" customHeight="false" outlineLevel="0" collapsed="false">
      <c r="A18" s="8" t="n">
        <v>14</v>
      </c>
      <c r="B18" s="9" t="s">
        <v>62</v>
      </c>
      <c r="C18" s="8" t="n">
        <v>5</v>
      </c>
      <c r="D18" s="10" t="s">
        <v>81</v>
      </c>
      <c r="E18" s="10" t="s">
        <v>33</v>
      </c>
      <c r="F18" s="10" t="s">
        <v>82</v>
      </c>
      <c r="G18" s="11" t="n">
        <v>43.6142</v>
      </c>
      <c r="H18" s="11" t="n">
        <v>3.8722</v>
      </c>
      <c r="I18" s="10" t="s">
        <v>83</v>
      </c>
      <c r="J18" s="10" t="s">
        <v>84</v>
      </c>
      <c r="K18" s="10"/>
    </row>
    <row r="19" customFormat="false" ht="23.85" hidden="false" customHeight="false" outlineLevel="0" collapsed="false">
      <c r="A19" s="4" t="n">
        <v>15</v>
      </c>
      <c r="B19" s="5" t="s">
        <v>85</v>
      </c>
      <c r="C19" s="4" t="n">
        <v>1</v>
      </c>
      <c r="D19" s="6" t="s">
        <v>86</v>
      </c>
      <c r="E19" s="6" t="s">
        <v>87</v>
      </c>
      <c r="F19" s="6" t="s">
        <v>65</v>
      </c>
      <c r="G19" s="7" t="n">
        <v>43.6112</v>
      </c>
      <c r="H19" s="7" t="n">
        <v>3.8767</v>
      </c>
      <c r="I19" s="6" t="s">
        <v>88</v>
      </c>
      <c r="J19" s="6" t="s">
        <v>89</v>
      </c>
      <c r="K19" s="6"/>
    </row>
    <row r="20" customFormat="false" ht="23.85" hidden="false" customHeight="false" outlineLevel="0" collapsed="false">
      <c r="A20" s="4" t="n">
        <v>16</v>
      </c>
      <c r="B20" s="5" t="s">
        <v>85</v>
      </c>
      <c r="C20" s="4" t="n">
        <v>2</v>
      </c>
      <c r="D20" s="6" t="s">
        <v>90</v>
      </c>
      <c r="E20" s="6" t="s">
        <v>91</v>
      </c>
      <c r="F20" s="6" t="s">
        <v>92</v>
      </c>
      <c r="G20" s="7" t="n">
        <v>43.6142</v>
      </c>
      <c r="H20" s="7" t="n">
        <v>3.8722</v>
      </c>
      <c r="I20" s="6" t="s">
        <v>93</v>
      </c>
      <c r="J20" s="6" t="s">
        <v>94</v>
      </c>
      <c r="K20" s="6"/>
    </row>
    <row r="21" customFormat="false" ht="23.85" hidden="false" customHeight="false" outlineLevel="0" collapsed="false">
      <c r="A21" s="4" t="n">
        <v>17</v>
      </c>
      <c r="B21" s="5" t="s">
        <v>85</v>
      </c>
      <c r="C21" s="4" t="n">
        <v>3</v>
      </c>
      <c r="D21" s="6" t="s">
        <v>95</v>
      </c>
      <c r="E21" s="6" t="s">
        <v>96</v>
      </c>
      <c r="F21" s="6" t="s">
        <v>40</v>
      </c>
      <c r="G21" s="7" t="n">
        <v>43.6105</v>
      </c>
      <c r="H21" s="7" t="n">
        <v>3.8762</v>
      </c>
      <c r="I21" s="6" t="s">
        <v>97</v>
      </c>
      <c r="J21" s="6" t="s">
        <v>98</v>
      </c>
      <c r="K21" s="6"/>
    </row>
    <row r="22" customFormat="false" ht="23.85" hidden="false" customHeight="false" outlineLevel="0" collapsed="false">
      <c r="A22" s="8" t="n">
        <v>18</v>
      </c>
      <c r="B22" s="9" t="s">
        <v>99</v>
      </c>
      <c r="C22" s="8" t="n">
        <v>1</v>
      </c>
      <c r="D22" s="10" t="s">
        <v>100</v>
      </c>
      <c r="E22" s="10" t="s">
        <v>101</v>
      </c>
      <c r="F22" s="10" t="s">
        <v>82</v>
      </c>
      <c r="G22" s="11" t="n">
        <v>43.6142</v>
      </c>
      <c r="H22" s="11" t="n">
        <v>3.8722</v>
      </c>
      <c r="I22" s="10" t="s">
        <v>102</v>
      </c>
      <c r="J22" s="10" t="s">
        <v>103</v>
      </c>
      <c r="K22" s="10"/>
    </row>
    <row r="23" customFormat="false" ht="23.85" hidden="false" customHeight="false" outlineLevel="0" collapsed="false">
      <c r="A23" s="8" t="n">
        <v>19</v>
      </c>
      <c r="B23" s="9" t="s">
        <v>99</v>
      </c>
      <c r="C23" s="8" t="n">
        <v>2</v>
      </c>
      <c r="D23" s="10" t="s">
        <v>104</v>
      </c>
      <c r="E23" s="10" t="s">
        <v>105</v>
      </c>
      <c r="F23" s="10" t="s">
        <v>82</v>
      </c>
      <c r="G23" s="11" t="n">
        <v>43.6142</v>
      </c>
      <c r="H23" s="11" t="n">
        <v>3.8722</v>
      </c>
      <c r="I23" s="10" t="s">
        <v>106</v>
      </c>
      <c r="J23" s="10" t="s">
        <v>107</v>
      </c>
      <c r="K23" s="10" t="s">
        <v>108</v>
      </c>
    </row>
    <row r="24" customFormat="false" ht="23.85" hidden="false" customHeight="false" outlineLevel="0" collapsed="false">
      <c r="A24" s="8" t="n">
        <v>20</v>
      </c>
      <c r="B24" s="9" t="s">
        <v>99</v>
      </c>
      <c r="C24" s="8" t="n">
        <v>3</v>
      </c>
      <c r="D24" s="10" t="s">
        <v>109</v>
      </c>
      <c r="E24" s="10" t="s">
        <v>110</v>
      </c>
      <c r="F24" s="10" t="s">
        <v>111</v>
      </c>
      <c r="G24" s="11" t="n">
        <v>43.6147</v>
      </c>
      <c r="H24" s="11" t="n">
        <v>3.8719</v>
      </c>
      <c r="I24" s="10" t="s">
        <v>112</v>
      </c>
      <c r="J24" s="10" t="s">
        <v>113</v>
      </c>
      <c r="K24" s="10"/>
    </row>
    <row r="25" customFormat="false" ht="23.85" hidden="false" customHeight="false" outlineLevel="0" collapsed="false">
      <c r="A25" s="8" t="n">
        <v>21</v>
      </c>
      <c r="B25" s="9" t="s">
        <v>99</v>
      </c>
      <c r="C25" s="8" t="n">
        <v>4</v>
      </c>
      <c r="D25" s="10" t="s">
        <v>114</v>
      </c>
      <c r="E25" s="10" t="s">
        <v>115</v>
      </c>
      <c r="F25" s="10" t="s">
        <v>28</v>
      </c>
      <c r="G25" s="11" t="n">
        <v>43.609</v>
      </c>
      <c r="H25" s="11" t="n">
        <v>3.8772</v>
      </c>
      <c r="I25" s="10" t="s">
        <v>116</v>
      </c>
      <c r="J25" s="10" t="s">
        <v>117</v>
      </c>
      <c r="K25" s="10"/>
    </row>
    <row r="26" customFormat="false" ht="23.85" hidden="false" customHeight="false" outlineLevel="0" collapsed="false">
      <c r="A26" s="8" t="n">
        <v>22</v>
      </c>
      <c r="B26" s="9" t="s">
        <v>99</v>
      </c>
      <c r="C26" s="8" t="n">
        <v>5</v>
      </c>
      <c r="D26" s="10" t="s">
        <v>118</v>
      </c>
      <c r="E26" s="10" t="s">
        <v>119</v>
      </c>
      <c r="F26" s="10" t="s">
        <v>120</v>
      </c>
      <c r="G26" s="11" t="n">
        <v>43.616</v>
      </c>
      <c r="H26" s="11" t="n">
        <v>3.8704</v>
      </c>
      <c r="I26" s="10" t="s">
        <v>121</v>
      </c>
      <c r="J26" s="10" t="s">
        <v>122</v>
      </c>
      <c r="K26" s="10"/>
    </row>
    <row r="27" customFormat="false" ht="23.85" hidden="false" customHeight="false" outlineLevel="0" collapsed="false">
      <c r="A27" s="4" t="n">
        <v>23</v>
      </c>
      <c r="B27" s="5" t="s">
        <v>123</v>
      </c>
      <c r="C27" s="4" t="n">
        <v>1</v>
      </c>
      <c r="D27" s="6" t="s">
        <v>124</v>
      </c>
      <c r="E27" s="6" t="s">
        <v>125</v>
      </c>
      <c r="F27" s="6" t="s">
        <v>126</v>
      </c>
      <c r="G27" s="7" t="n">
        <v>43.61</v>
      </c>
      <c r="H27" s="7" t="n">
        <v>3.8785</v>
      </c>
      <c r="I27" s="6" t="s">
        <v>127</v>
      </c>
      <c r="J27" s="6" t="s">
        <v>128</v>
      </c>
      <c r="K27" s="6"/>
    </row>
    <row r="28" customFormat="false" ht="23.85" hidden="false" customHeight="false" outlineLevel="0" collapsed="false">
      <c r="A28" s="4" t="n">
        <v>24</v>
      </c>
      <c r="B28" s="5" t="s">
        <v>123</v>
      </c>
      <c r="C28" s="4" t="n">
        <v>2</v>
      </c>
      <c r="D28" s="6" t="s">
        <v>129</v>
      </c>
      <c r="E28" s="6" t="s">
        <v>125</v>
      </c>
      <c r="F28" s="6" t="s">
        <v>130</v>
      </c>
      <c r="G28" s="7" t="n">
        <v>43.6126</v>
      </c>
      <c r="H28" s="7" t="n">
        <v>3.8832</v>
      </c>
      <c r="I28" s="6" t="s">
        <v>131</v>
      </c>
      <c r="J28" s="6" t="s">
        <v>132</v>
      </c>
      <c r="K28" s="6"/>
    </row>
    <row r="29" customFormat="false" ht="23.85" hidden="false" customHeight="false" outlineLevel="0" collapsed="false">
      <c r="A29" s="8" t="n">
        <v>25</v>
      </c>
      <c r="B29" s="9" t="s">
        <v>133</v>
      </c>
      <c r="C29" s="8" t="n">
        <v>1</v>
      </c>
      <c r="D29" s="10" t="s">
        <v>134</v>
      </c>
      <c r="E29" s="10" t="s">
        <v>135</v>
      </c>
      <c r="F29" s="10" t="s">
        <v>136</v>
      </c>
      <c r="G29" s="11" t="n">
        <v>43.6116</v>
      </c>
      <c r="H29" s="11" t="n">
        <v>3.87</v>
      </c>
      <c r="I29" s="10" t="s">
        <v>137</v>
      </c>
      <c r="J29" s="10" t="s">
        <v>138</v>
      </c>
      <c r="K29" s="10"/>
    </row>
    <row r="30" customFormat="false" ht="23.85" hidden="false" customHeight="false" outlineLevel="0" collapsed="false">
      <c r="A30" s="8" t="n">
        <v>26</v>
      </c>
      <c r="B30" s="9" t="s">
        <v>133</v>
      </c>
      <c r="C30" s="8" t="n">
        <v>2</v>
      </c>
      <c r="D30" s="10" t="s">
        <v>139</v>
      </c>
      <c r="E30" s="10" t="s">
        <v>135</v>
      </c>
      <c r="F30" s="10" t="s">
        <v>140</v>
      </c>
      <c r="G30" s="11" t="n">
        <v>43.6112</v>
      </c>
      <c r="H30" s="11" t="n">
        <v>3.8682</v>
      </c>
      <c r="I30" s="10" t="s">
        <v>141</v>
      </c>
      <c r="J30" s="10" t="s">
        <v>142</v>
      </c>
      <c r="K30" s="10"/>
    </row>
    <row r="31" customFormat="false" ht="23.85" hidden="false" customHeight="false" outlineLevel="0" collapsed="false">
      <c r="A31" s="8" t="n">
        <v>27</v>
      </c>
      <c r="B31" s="9" t="s">
        <v>133</v>
      </c>
      <c r="C31" s="8" t="n">
        <v>3</v>
      </c>
      <c r="D31" s="10" t="s">
        <v>143</v>
      </c>
      <c r="E31" s="10" t="s">
        <v>33</v>
      </c>
      <c r="F31" s="10" t="s">
        <v>144</v>
      </c>
      <c r="G31" s="11" t="n">
        <v>43.6135</v>
      </c>
      <c r="H31" s="11" t="n">
        <v>3.8655</v>
      </c>
      <c r="I31" s="10" t="s">
        <v>145</v>
      </c>
      <c r="J31" s="10" t="s">
        <v>146</v>
      </c>
      <c r="K31" s="10"/>
    </row>
    <row r="32" customFormat="false" ht="23.85" hidden="false" customHeight="false" outlineLevel="0" collapsed="false">
      <c r="A32" s="4" t="n">
        <v>28</v>
      </c>
      <c r="B32" s="5" t="s">
        <v>147</v>
      </c>
      <c r="C32" s="4" t="n">
        <v>1</v>
      </c>
      <c r="D32" s="6" t="s">
        <v>148</v>
      </c>
      <c r="E32" s="6" t="s">
        <v>33</v>
      </c>
      <c r="F32" s="6" t="s">
        <v>149</v>
      </c>
      <c r="G32" s="7" t="n">
        <v>43.6085</v>
      </c>
      <c r="H32" s="7" t="n">
        <v>3.8797</v>
      </c>
      <c r="I32" s="6" t="s">
        <v>150</v>
      </c>
      <c r="J32" s="6" t="s">
        <v>151</v>
      </c>
      <c r="K32" s="6"/>
    </row>
    <row r="33" customFormat="false" ht="23.85" hidden="false" customHeight="false" outlineLevel="0" collapsed="false">
      <c r="A33" s="4" t="n">
        <v>29</v>
      </c>
      <c r="B33" s="5" t="s">
        <v>147</v>
      </c>
      <c r="C33" s="4" t="n">
        <v>2</v>
      </c>
      <c r="D33" s="6" t="s">
        <v>152</v>
      </c>
      <c r="E33" s="6" t="s">
        <v>153</v>
      </c>
      <c r="F33" s="6" t="s">
        <v>154</v>
      </c>
      <c r="G33" s="7" t="n">
        <v>43.608</v>
      </c>
      <c r="H33" s="7" t="n">
        <v>3.887</v>
      </c>
      <c r="I33" s="6" t="s">
        <v>155</v>
      </c>
      <c r="J33" s="6" t="s">
        <v>156</v>
      </c>
      <c r="K33" s="6"/>
    </row>
    <row r="34" customFormat="false" ht="23.85" hidden="false" customHeight="false" outlineLevel="0" collapsed="false">
      <c r="A34" s="4" t="n">
        <v>30</v>
      </c>
      <c r="B34" s="5" t="s">
        <v>147</v>
      </c>
      <c r="C34" s="4" t="n">
        <v>3</v>
      </c>
      <c r="D34" s="6" t="s">
        <v>157</v>
      </c>
      <c r="E34" s="6" t="s">
        <v>158</v>
      </c>
      <c r="F34" s="6" t="s">
        <v>159</v>
      </c>
      <c r="G34" s="7" t="n">
        <v>43.608</v>
      </c>
      <c r="H34" s="7" t="n">
        <v>3.88</v>
      </c>
      <c r="I34" s="6" t="s">
        <v>160</v>
      </c>
      <c r="J34" s="6" t="s">
        <v>161</v>
      </c>
      <c r="K34" s="6"/>
    </row>
  </sheetData>
  <autoFilter ref="A4:K34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25.5" hidden="false" customHeight="true" outlineLevel="0" collapsed="false">
      <c r="A1" s="1" t="s">
        <v>162</v>
      </c>
      <c r="B1" s="1"/>
    </row>
    <row r="3" customFormat="false" ht="25.5" hidden="false" customHeight="true" outlineLevel="0" collapsed="false">
      <c r="A3" s="3" t="s">
        <v>3</v>
      </c>
      <c r="B3" s="3" t="s">
        <v>163</v>
      </c>
    </row>
    <row r="4" customFormat="false" ht="15" hidden="false" customHeight="false" outlineLevel="0" collapsed="false">
      <c r="A4" s="12" t="s">
        <v>13</v>
      </c>
      <c r="B4" s="13" t="n">
        <f aca="false">COUNTIF('À traiter'!$B$5:$B$34,$A4)</f>
        <v>1</v>
      </c>
    </row>
    <row r="5" customFormat="false" ht="15" hidden="false" customHeight="false" outlineLevel="0" collapsed="false">
      <c r="A5" s="14" t="s">
        <v>20</v>
      </c>
      <c r="B5" s="15" t="n">
        <f aca="false">COUNTIF('À traiter'!$B$5:$B$34,$A5)</f>
        <v>3</v>
      </c>
    </row>
    <row r="6" customFormat="false" ht="15" hidden="false" customHeight="false" outlineLevel="0" collapsed="false">
      <c r="A6" s="12" t="s">
        <v>37</v>
      </c>
      <c r="B6" s="13" t="n">
        <f aca="false">COUNTIF('À traiter'!$B$5:$B$34,$A6)</f>
        <v>5</v>
      </c>
    </row>
    <row r="7" customFormat="false" ht="15" hidden="false" customHeight="false" outlineLevel="0" collapsed="false">
      <c r="A7" s="14" t="s">
        <v>62</v>
      </c>
      <c r="B7" s="15" t="n">
        <f aca="false">COUNTIF('À traiter'!$B$5:$B$34,$A7)</f>
        <v>5</v>
      </c>
    </row>
    <row r="8" customFormat="false" ht="15" hidden="false" customHeight="false" outlineLevel="0" collapsed="false">
      <c r="A8" s="12" t="s">
        <v>85</v>
      </c>
      <c r="B8" s="13" t="n">
        <f aca="false">COUNTIF('À traiter'!$B$5:$B$34,$A8)</f>
        <v>3</v>
      </c>
    </row>
    <row r="9" customFormat="false" ht="15" hidden="false" customHeight="false" outlineLevel="0" collapsed="false">
      <c r="A9" s="14" t="s">
        <v>99</v>
      </c>
      <c r="B9" s="15" t="n">
        <f aca="false">COUNTIF('À traiter'!$B$5:$B$34,$A9)</f>
        <v>5</v>
      </c>
    </row>
    <row r="10" customFormat="false" ht="15" hidden="false" customHeight="false" outlineLevel="0" collapsed="false">
      <c r="A10" s="12" t="s">
        <v>123</v>
      </c>
      <c r="B10" s="13" t="n">
        <f aca="false">COUNTIF('À traiter'!$B$5:$B$34,$A10)</f>
        <v>2</v>
      </c>
    </row>
    <row r="11" customFormat="false" ht="15" hidden="false" customHeight="false" outlineLevel="0" collapsed="false">
      <c r="A11" s="14" t="s">
        <v>133</v>
      </c>
      <c r="B11" s="15" t="n">
        <f aca="false">COUNTIF('À traiter'!$B$5:$B$34,$A11)</f>
        <v>3</v>
      </c>
    </row>
    <row r="12" customFormat="false" ht="15" hidden="false" customHeight="false" outlineLevel="0" collapsed="false">
      <c r="A12" s="12" t="s">
        <v>147</v>
      </c>
      <c r="B12" s="13" t="n">
        <f aca="false">COUNTIF('À traiter'!$B$5:$B$34,$A12)</f>
        <v>3</v>
      </c>
    </row>
    <row r="13" customFormat="false" ht="15" hidden="false" customHeight="false" outlineLevel="0" collapsed="false">
      <c r="A13" s="16" t="s">
        <v>164</v>
      </c>
      <c r="B13" s="17" t="n">
        <f aca="false">SUM(B4:B12)</f>
        <v>30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2026-06-28T15:03:22Z</dcterms:created>
  <dc:creator>openpyxl</dc:creator>
  <dc:description/>
  <dc:language>en-US</dc:language>
  <cp:lastModifiedBy/>
  <dcterms:modified xsi:type="dcterms:W3CDTF">2026-06-28T15:03:22Z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